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530" codeName="{4D1C537B-E38A-612A-F078-A93A15B4B7F4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F:\denis\FENAV\Semestre 8\Projeto do Navio I\Etapa 4\PRONAV I - DENIS NASCIMENTO - ENTREGA 4 (CORREÇÕES)\"/>
    </mc:Choice>
  </mc:AlternateContent>
  <xr:revisionPtr revIDLastSave="0" documentId="13_ncr:1_{00CAB69B-44B4-4A4D-B3CF-787BAE6109E0}" xr6:coauthVersionLast="46" xr6:coauthVersionMax="46" xr10:uidLastSave="{00000000-0000-0000-0000-000000000000}"/>
  <bookViews>
    <workbookView xWindow="-120" yWindow="-120" windowWidth="29040" windowHeight="16440" xr2:uid="{00000000-000D-0000-FFFF-FFFF00000000}"/>
  </bookViews>
  <sheets>
    <sheet name="Holtrop" sheetId="1" r:id="rId1"/>
    <sheet name="Potência x Velocidade" sheetId="10" r:id="rId2"/>
    <sheet name="SérieB" sheetId="2" r:id="rId3"/>
    <sheet name="Cavitação" sheetId="3" r:id="rId4"/>
  </sheets>
  <definedNames>
    <definedName name="_ccc075">SérieB!$B$7</definedName>
    <definedName name="_ccc1">Holtrop!$F$67</definedName>
    <definedName name="_ccc12">Holtrop!$D$66</definedName>
    <definedName name="_ccc14">Holtrop!$D$67</definedName>
    <definedName name="_ccc15">Holtrop!$L$63</definedName>
    <definedName name="_ccc16">Holtrop!$J$65</definedName>
    <definedName name="_ccc17">Holtrop!$F$63</definedName>
    <definedName name="_ccc19">Holtrop!$L$68</definedName>
    <definedName name="_ccc2">Holtrop!$J$63</definedName>
    <definedName name="_ccc20">Holtrop!$L$69</definedName>
    <definedName name="_ccc3">Holtrop!$H$66</definedName>
    <definedName name="_ccc4">Holtrop!$L$66</definedName>
    <definedName name="_ccc5">Holtrop!$J$64</definedName>
    <definedName name="_ccc6">Holtrop!$F$70</definedName>
    <definedName name="_ccc7">Holtrop!$D$68</definedName>
    <definedName name="_ccc8">Holtrop!$H$68</definedName>
    <definedName name="_ccc9">Holtrop!$J$68</definedName>
    <definedName name="_ccp1">Holtrop!$J$69</definedName>
    <definedName name="_crw1">Holtrop!$J$70</definedName>
    <definedName name="_crw2">Holtrop!$L$70</definedName>
    <definedName name="_dia1">SérieB!$D$7</definedName>
    <definedName name="_hbb1">Holtrop!$L$42</definedName>
    <definedName name="_kk2">Holtrop!$F$52</definedName>
    <definedName name="_kkm1">Holtrop!$F$68</definedName>
    <definedName name="_lcb1">Holtrop!$D$14</definedName>
    <definedName name="_mmm1">Holtrop!$J$66</definedName>
    <definedName name="_mmm3">Holtrop!$F$64</definedName>
    <definedName name="_mmm4">Holtrop!$H$67</definedName>
    <definedName name="_rn075">SérieB!$B$8</definedName>
    <definedName name="_rot1">SérieB!$B$4</definedName>
    <definedName name="_vr2">SérieB!$D$19</definedName>
    <definedName name="_vva1">SérieB!$D$4</definedName>
    <definedName name="asmol">Holtrop!$D$20</definedName>
    <definedName name="atr">Holtrop!$D$15</definedName>
    <definedName name="atrs">Holtrop!$D$19</definedName>
    <definedName name="boca">Holtrop!$D$10</definedName>
    <definedName name="bsl">Holtrop!$I$46</definedName>
    <definedName name="bsta">Holtrop!$I$55</definedName>
    <definedName name="caa">Holtrop!#REF!</definedName>
    <definedName name="cal">Holtrop!$D$11</definedName>
    <definedName name="calar">Holtrop!$D$12</definedName>
    <definedName name="cbb">Holtrop!$I$42</definedName>
    <definedName name="ccav">Holtrop!$H$25</definedName>
    <definedName name="ccca">Holtrop!$H$70</definedName>
    <definedName name="cff">Holtrop!$C$77</definedName>
    <definedName name="clwl">Holtrop!$D$18</definedName>
    <definedName name="cpp">Holtrop!$D$63</definedName>
    <definedName name="csm">Holtrop!$D$17</definedName>
    <definedName name="cstern">Holtrop!$D$21</definedName>
    <definedName name="cvv">Holtrop!$H$69</definedName>
    <definedName name="ddd">Holtrop!$J$67</definedName>
    <definedName name="desloc">Holtrop!$D$13</definedName>
    <definedName name="Deslocamento_leve" localSheetId="1">'Potência x Velocidade'!$B$2</definedName>
    <definedName name="dprop">Holtrop!$H$7</definedName>
    <definedName name="ehp">Holtrop!$H$18</definedName>
    <definedName name="fasf">SérieB!$D$5</definedName>
    <definedName name="fnii">Holtrop!$D$69</definedName>
    <definedName name="fnn">Holtrop!$B$65</definedName>
    <definedName name="fnnt">Holtrop!$D$70</definedName>
    <definedName name="frt">Holtrop!$K$84</definedName>
    <definedName name="ftt">Holtrop!$E$88</definedName>
    <definedName name="grav">Holtrop!$G$37</definedName>
    <definedName name="hbb">Holtrop!$D$16</definedName>
    <definedName name="hprop">Holtrop!$H$9</definedName>
    <definedName name="hra">Holtrop!$K$78</definedName>
    <definedName name="hrapp">Holtrop!$K$79</definedName>
    <definedName name="hrb">Holtrop!$G$79</definedName>
    <definedName name="hrf">Holtrop!$C$79</definedName>
    <definedName name="hrtr">Holtrop!$G$84</definedName>
    <definedName name="hrw">Holtrop!$C$84</definedName>
    <definedName name="iie">Holtrop!$H$64</definedName>
    <definedName name="jjj">SérieB!$B$5</definedName>
    <definedName name="kkm">Holtrop!$F$69</definedName>
    <definedName name="kqs">SérieB!$H$9</definedName>
    <definedName name="kts">SérieB!$H$8</definedName>
    <definedName name="lambda">Holtrop!$L$64</definedName>
    <definedName name="lcb">Holtrop!$D$65</definedName>
    <definedName name="lpp">Holtrop!$D$8</definedName>
    <definedName name="lrr">Holtrop!$D$64</definedName>
    <definedName name="ls3vol">Holtrop!$I$48</definedName>
    <definedName name="lsb">Holtrop!$I$47</definedName>
    <definedName name="lsbm2">Holtrop!$L$41</definedName>
    <definedName name="lslr">Holtrop!$L$43</definedName>
    <definedName name="lsta">Holtrop!$L$44</definedName>
    <definedName name="lwl">Holtrop!$D$9</definedName>
    <definedName name="mii">Holtrop!$G$34</definedName>
    <definedName name="ncav">Holtrop!$H$24</definedName>
    <definedName name="nii">Holtrop!$G$35</definedName>
    <definedName name="Nmprop">Holtrop!$D$25</definedName>
    <definedName name="nprop">Holtrop!$H$8</definedName>
    <definedName name="nrr">Holtrop!$H$87</definedName>
    <definedName name="pbb">Holtrop!$L$65</definedName>
    <definedName name="psd">SérieB!$B$6</definedName>
    <definedName name="renab">Holtrop!$H$22</definedName>
    <definedName name="rend">Holtrop!$H$12</definedName>
    <definedName name="Rey">Holtrop!$B$66</definedName>
    <definedName name="rfaf">Holtrop!$H$11</definedName>
    <definedName name="roo">Holtrop!$G$36</definedName>
    <definedName name="rot">Holtrop!$H$10</definedName>
    <definedName name="rpd">Holtrop!$H$12</definedName>
    <definedName name="rwa">Holtrop!$C$82</definedName>
    <definedName name="rwb">Holtrop!$C$81</definedName>
    <definedName name="sapp">Holtrop!$E$52</definedName>
    <definedName name="solver_adj" localSheetId="0" hidden="1">Holtrop!$H$11:$H$12,Holtrop!$D$22</definedName>
    <definedName name="solver_drv" localSheetId="0" hidden="1">1</definedName>
    <definedName name="solver_est" localSheetId="0" hidden="1">1</definedName>
    <definedName name="solver_itr" localSheetId="0" hidden="1">1000</definedName>
    <definedName name="solver_lhs1" localSheetId="0" hidden="1">Holtrop!$H$11</definedName>
    <definedName name="solver_lhs10" localSheetId="0" hidden="1">Holtrop!$H$8</definedName>
    <definedName name="solver_lhs11" localSheetId="0" hidden="1">Holtrop!$H$8</definedName>
    <definedName name="solver_lhs12" localSheetId="0" hidden="1">Holtrop!$H$10</definedName>
    <definedName name="solver_lhs13" localSheetId="0" hidden="1">Holtrop!$H$10</definedName>
    <definedName name="solver_lhs14" localSheetId="0" hidden="1">Holtrop!$H$11</definedName>
    <definedName name="solver_lhs15" localSheetId="0" hidden="1">Holtrop!$H$11</definedName>
    <definedName name="solver_lhs2" localSheetId="0" hidden="1">Holtrop!$H$11</definedName>
    <definedName name="solver_lhs3" localSheetId="0" hidden="1">Holtrop!$H$12</definedName>
    <definedName name="solver_lhs4" localSheetId="0" hidden="1">Holtrop!$H$12</definedName>
    <definedName name="solver_lhs5" localSheetId="0" hidden="1">Holtrop!$L$24</definedName>
    <definedName name="solver_lhs6" localSheetId="0" hidden="1">Holtrop!$H$22</definedName>
    <definedName name="solver_lhs7" localSheetId="0" hidden="1">Holtrop!$H$22</definedName>
    <definedName name="solver_lhs8" localSheetId="0" hidden="1">Holtrop!$L$12</definedName>
    <definedName name="solver_lhs9" localSheetId="0" hidden="1">Holtrop!$L$9</definedName>
    <definedName name="solver_lin" localSheetId="0" hidden="1">0</definedName>
    <definedName name="solver_num" localSheetId="0" hidden="1">15</definedName>
    <definedName name="solver_nwt" localSheetId="0" hidden="1">1</definedName>
    <definedName name="solver_opt" localSheetId="0" hidden="1">Holtrop!$B$65</definedName>
    <definedName name="solver_pre" localSheetId="0" hidden="1">0.000001</definedName>
    <definedName name="solver_rel1" localSheetId="0" hidden="1">1</definedName>
    <definedName name="solver_rel10" localSheetId="0" hidden="1">1</definedName>
    <definedName name="solver_rel11" localSheetId="0" hidden="1">3</definedName>
    <definedName name="solver_rel12" localSheetId="0" hidden="1">1</definedName>
    <definedName name="solver_rel13" localSheetId="0" hidden="1">3</definedName>
    <definedName name="solver_rel14" localSheetId="0" hidden="1">1</definedName>
    <definedName name="solver_rel15" localSheetId="0" hidden="1">3</definedName>
    <definedName name="solver_rel2" localSheetId="0" hidden="1">3</definedName>
    <definedName name="solver_rel3" localSheetId="0" hidden="1">1</definedName>
    <definedName name="solver_rel4" localSheetId="0" hidden="1">3</definedName>
    <definedName name="solver_rel5" localSheetId="0" hidden="1">1</definedName>
    <definedName name="solver_rel6" localSheetId="0" hidden="1">1</definedName>
    <definedName name="solver_rel7" localSheetId="0" hidden="1">3</definedName>
    <definedName name="solver_rel8" localSheetId="0" hidden="1">2</definedName>
    <definedName name="solver_rel9" localSheetId="0" hidden="1">3</definedName>
    <definedName name="solver_rhs1" localSheetId="0" hidden="1">1.05</definedName>
    <definedName name="solver_rhs10" localSheetId="0" hidden="1">7</definedName>
    <definedName name="solver_rhs11" localSheetId="0" hidden="1">3</definedName>
    <definedName name="solver_rhs12" localSheetId="0" hidden="1">900</definedName>
    <definedName name="solver_rhs13" localSheetId="0" hidden="1">200</definedName>
    <definedName name="solver_rhs14" localSheetId="0" hidden="1">Holtrop!$G$11</definedName>
    <definedName name="solver_rhs15" localSheetId="0" hidden="1">Holtrop!$G$10</definedName>
    <definedName name="solver_rhs2" localSheetId="0" hidden="1">0.3</definedName>
    <definedName name="solver_rhs3" localSheetId="0" hidden="1">1.4</definedName>
    <definedName name="solver_rhs4" localSheetId="0" hidden="1">0.5</definedName>
    <definedName name="solver_rhs5" localSheetId="0" hidden="1">Holtrop!$L$27</definedName>
    <definedName name="solver_rhs6" localSheetId="0" hidden="1">0.9</definedName>
    <definedName name="solver_rhs7" localSheetId="0" hidden="1">0.1</definedName>
    <definedName name="solver_rhs8" localSheetId="0" hidden="1">0</definedName>
    <definedName name="solver_rhs9" localSheetId="0" hidden="1">0.01</definedName>
    <definedName name="solver_scl" localSheetId="0" hidden="1">0</definedName>
    <definedName name="solver_sho" localSheetId="0" hidden="1">0</definedName>
    <definedName name="solver_tim" localSheetId="0" hidden="1">1000</definedName>
    <definedName name="solver_tmp" localSheetId="0" hidden="1">Holtrop!$G$10</definedName>
    <definedName name="solver_tol" localSheetId="0" hidden="1">0.05</definedName>
    <definedName name="solver_typ" localSheetId="0" hidden="1">1</definedName>
    <definedName name="solver_val" localSheetId="0" hidden="1">0</definedName>
    <definedName name="supmol">Holtrop!$F$65</definedName>
    <definedName name="tasd">Holtrop!$I$56</definedName>
    <definedName name="TBP" localSheetId="1">'Potência x Velocidade'!$B$1</definedName>
    <definedName name="tcm">Holtrop!$I$45</definedName>
    <definedName name="TPB" localSheetId="1">'Potência x Velocidade'!$B$1</definedName>
    <definedName name="tsb">Holtrop!$I$51</definedName>
    <definedName name="tsl">Holtrop!$I$41</definedName>
    <definedName name="ttt">Holtrop!$E$87</definedName>
    <definedName name="velms">Holtrop!$B$63</definedName>
    <definedName name="veloc">Holtrop!$D$22</definedName>
    <definedName name="volsl3">Holtrop!$I$49</definedName>
    <definedName name="vva">Holtrop!$B$88</definedName>
    <definedName name="www">Holtrop!$B$87</definedName>
    <definedName name="zzz">SérieB!$D$6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10" l="1" a="1"/>
  <c r="B4" i="10" s="1"/>
  <c r="B5" i="10" a="1"/>
  <c r="B5" i="10" s="1"/>
  <c r="B6" i="10" a="1"/>
  <c r="B6" i="10" s="1"/>
  <c r="B7" i="10" a="1"/>
  <c r="B7" i="10" s="1"/>
  <c r="B8" i="10" a="1"/>
  <c r="B8" i="10" s="1"/>
  <c r="B9" i="10" a="1"/>
  <c r="B9" i="10" s="1"/>
  <c r="B10" i="10" a="1"/>
  <c r="B10" i="10" s="1"/>
  <c r="B11" i="10" a="1"/>
  <c r="B11" i="10" s="1"/>
  <c r="B12" i="10" a="1"/>
  <c r="B12" i="10" s="1"/>
  <c r="B13" i="10" a="1"/>
  <c r="B13" i="10" s="1"/>
  <c r="B14" i="10" a="1"/>
  <c r="B14" i="10" s="1"/>
  <c r="B15" i="10" a="1"/>
  <c r="B15" i="10" s="1"/>
  <c r="B16" i="10" a="1"/>
  <c r="B16" i="10" s="1"/>
  <c r="B17" i="10" a="1"/>
  <c r="B17" i="10" s="1"/>
  <c r="B18" i="10" a="1"/>
  <c r="B18" i="10" s="1"/>
  <c r="B19" i="10" a="1"/>
  <c r="B19" i="10" s="1"/>
  <c r="B20" i="10" a="1"/>
  <c r="B20" i="10" s="1"/>
  <c r="B21" i="10" a="1"/>
  <c r="B21" i="10" s="1"/>
  <c r="B22" i="10" a="1"/>
  <c r="B22" i="10" s="1"/>
  <c r="B23" i="10" a="1"/>
  <c r="B23" i="10" s="1"/>
  <c r="B24" i="10" a="1"/>
  <c r="B24" i="10" s="1"/>
  <c r="B25" i="10" a="1"/>
  <c r="B25" i="10" s="1"/>
  <c r="B26" i="10" a="1"/>
  <c r="B26" i="10" s="1"/>
  <c r="B27" i="10" a="1"/>
  <c r="B27" i="10" s="1"/>
  <c r="B28" i="10" a="1"/>
  <c r="B28" i="10" s="1"/>
  <c r="B29" i="10" a="1"/>
  <c r="B29" i="10" s="1"/>
  <c r="B30" i="10" a="1"/>
  <c r="B30" i="10" s="1"/>
  <c r="B31" i="10" a="1"/>
  <c r="B31" i="10" s="1"/>
  <c r="B32" i="10" a="1"/>
  <c r="B32" i="10" s="1"/>
  <c r="B33" i="10" a="1"/>
  <c r="B33" i="10" s="1"/>
  <c r="B34" i="10" a="1"/>
  <c r="B34" i="10" s="1"/>
  <c r="B35" i="10" a="1"/>
  <c r="B35" i="10" s="1"/>
  <c r="B36" i="10" a="1"/>
  <c r="B36" i="10" s="1"/>
  <c r="B37" i="10" a="1"/>
  <c r="B37" i="10" s="1"/>
  <c r="B38" i="10" a="1"/>
  <c r="B38" i="10" s="1"/>
  <c r="B39" i="10" a="1"/>
  <c r="B39" i="10" s="1"/>
  <c r="B40" i="10" a="1"/>
  <c r="B40" i="10" s="1"/>
  <c r="B41" i="10" a="1"/>
  <c r="B41" i="10" s="1"/>
  <c r="B42" i="10" a="1"/>
  <c r="B42" i="10" s="1"/>
  <c r="B43" i="10" a="1"/>
  <c r="B43" i="10" s="1"/>
  <c r="B44" i="10" a="1"/>
  <c r="B44" i="10" s="1"/>
  <c r="B45" i="10" a="1"/>
  <c r="B45" i="10" s="1"/>
  <c r="B46" i="10" a="1"/>
  <c r="B46" i="10" s="1"/>
  <c r="B47" i="10" a="1"/>
  <c r="B47" i="10" s="1"/>
  <c r="B48" i="10" a="1"/>
  <c r="B48" i="10" s="1"/>
  <c r="B49" i="10" a="1"/>
  <c r="B49" i="10" s="1"/>
  <c r="B50" i="10" a="1"/>
  <c r="B50" i="10" s="1"/>
  <c r="B51" i="10" a="1"/>
  <c r="B51" i="10" s="1"/>
  <c r="B52" i="10" a="1"/>
  <c r="B52" i="10" s="1"/>
  <c r="B53" i="10" a="1"/>
  <c r="B53" i="10" s="1"/>
  <c r="B54" i="10" a="1"/>
  <c r="B54" i="10" s="1"/>
  <c r="B55" i="10" a="1"/>
  <c r="B55" i="10" s="1"/>
  <c r="B56" i="10" a="1"/>
  <c r="B56" i="10" s="1"/>
  <c r="B57" i="10" a="1"/>
  <c r="B57" i="10" s="1"/>
  <c r="B58" i="10" a="1"/>
  <c r="B58" i="10" s="1"/>
  <c r="B59" i="10" a="1"/>
  <c r="B59" i="10" s="1"/>
  <c r="B60" i="10" a="1"/>
  <c r="B60" i="10" s="1"/>
  <c r="B61" i="10" a="1"/>
  <c r="B61" i="10" s="1"/>
  <c r="B62" i="10" a="1"/>
  <c r="B62" i="10" s="1"/>
  <c r="B63" i="10" a="1"/>
  <c r="B63" i="10" s="1"/>
  <c r="B64" i="10" a="1"/>
  <c r="B64" i="10" s="1"/>
  <c r="B65" i="10" a="1"/>
  <c r="B65" i="10" s="1"/>
  <c r="B66" i="10" a="1"/>
  <c r="B66" i="10" s="1"/>
  <c r="B67" i="10" a="1"/>
  <c r="B67" i="10" s="1"/>
  <c r="B68" i="10" a="1"/>
  <c r="B68" i="10" s="1"/>
  <c r="B69" i="10" a="1"/>
  <c r="B69" i="10" s="1"/>
  <c r="B70" i="10" a="1"/>
  <c r="B70" i="10" s="1"/>
  <c r="B71" i="10" a="1"/>
  <c r="B71" i="10" s="1"/>
  <c r="B72" i="10" a="1"/>
  <c r="B72" i="10" s="1"/>
  <c r="B73" i="10" a="1"/>
  <c r="B73" i="10" s="1"/>
  <c r="B74" i="10" a="1"/>
  <c r="B74" i="10" s="1"/>
  <c r="B75" i="10" a="1"/>
  <c r="B75" i="10" s="1"/>
  <c r="B76" i="10" a="1"/>
  <c r="B76" i="10" s="1"/>
  <c r="B77" i="10" a="1"/>
  <c r="B77" i="10" s="1"/>
  <c r="B78" i="10" a="1"/>
  <c r="B78" i="10" s="1"/>
  <c r="B79" i="10" a="1"/>
  <c r="B79" i="10" s="1"/>
  <c r="B80" i="10" a="1"/>
  <c r="B80" i="10" s="1"/>
  <c r="B81" i="10" a="1"/>
  <c r="B81" i="10" s="1"/>
  <c r="B82" i="10" a="1"/>
  <c r="B82" i="10" s="1"/>
  <c r="B83" i="10" a="1"/>
  <c r="B83" i="10" s="1"/>
  <c r="B84" i="10" a="1"/>
  <c r="B84" i="10" s="1"/>
  <c r="B85" i="10" a="1"/>
  <c r="B85" i="10" s="1"/>
  <c r="B86" i="10" a="1"/>
  <c r="B86" i="10" s="1"/>
  <c r="B87" i="10" a="1"/>
  <c r="B87" i="10" s="1"/>
  <c r="B88" i="10" a="1"/>
  <c r="B88" i="10" s="1"/>
  <c r="B89" i="10" a="1"/>
  <c r="B89" i="10" s="1"/>
  <c r="B90" i="10" a="1"/>
  <c r="B90" i="10" s="1"/>
  <c r="B91" i="10" a="1"/>
  <c r="B91" i="10" s="1"/>
  <c r="F25" i="10"/>
  <c r="G25" i="10" s="1"/>
  <c r="H25" i="10" s="1"/>
  <c r="F4" i="10"/>
  <c r="F5" i="10"/>
  <c r="F6" i="10"/>
  <c r="F7" i="10"/>
  <c r="F8" i="10"/>
  <c r="F9" i="10"/>
  <c r="F10" i="10"/>
  <c r="F11" i="10"/>
  <c r="G11" i="10" s="1"/>
  <c r="H11" i="10" s="1"/>
  <c r="F12" i="10"/>
  <c r="G12" i="10" s="1"/>
  <c r="H12" i="10" s="1"/>
  <c r="F13" i="10"/>
  <c r="G13" i="10" s="1"/>
  <c r="H13" i="10" s="1"/>
  <c r="F14" i="10"/>
  <c r="F15" i="10"/>
  <c r="F16" i="10"/>
  <c r="F17" i="10"/>
  <c r="G17" i="10" s="1"/>
  <c r="H17" i="10" s="1"/>
  <c r="F18" i="10"/>
  <c r="G18" i="10" s="1"/>
  <c r="H18" i="10" s="1"/>
  <c r="F19" i="10"/>
  <c r="G19" i="10" s="1"/>
  <c r="H19" i="10" s="1"/>
  <c r="F20" i="10"/>
  <c r="F21" i="10"/>
  <c r="G21" i="10" s="1"/>
  <c r="H21" i="10" s="1"/>
  <c r="F22" i="10"/>
  <c r="F23" i="10"/>
  <c r="F24" i="10"/>
  <c r="F26" i="10"/>
  <c r="G26" i="10" s="1"/>
  <c r="H26" i="10" s="1"/>
  <c r="F27" i="10"/>
  <c r="G27" i="10" s="1"/>
  <c r="H27" i="10" s="1"/>
  <c r="F28" i="10"/>
  <c r="G28" i="10" s="1"/>
  <c r="H28" i="10" s="1"/>
  <c r="F29" i="10"/>
  <c r="F30" i="10"/>
  <c r="G30" i="10" s="1"/>
  <c r="H30" i="10" s="1"/>
  <c r="F31" i="10"/>
  <c r="F32" i="10"/>
  <c r="F33" i="10"/>
  <c r="G33" i="10" s="1"/>
  <c r="H33" i="10" s="1"/>
  <c r="F34" i="10"/>
  <c r="F35" i="10"/>
  <c r="G35" i="10" s="1"/>
  <c r="H35" i="10" s="1"/>
  <c r="F36" i="10"/>
  <c r="G36" i="10" s="1"/>
  <c r="H36" i="10" s="1"/>
  <c r="F37" i="10"/>
  <c r="F38" i="10"/>
  <c r="G38" i="10" s="1"/>
  <c r="H38" i="10" s="1"/>
  <c r="F39" i="10"/>
  <c r="G39" i="10" s="1"/>
  <c r="H39" i="10" s="1"/>
  <c r="F40" i="10"/>
  <c r="G40" i="10" s="1"/>
  <c r="H40" i="10" s="1"/>
  <c r="F41" i="10"/>
  <c r="G41" i="10" s="1"/>
  <c r="H41" i="10" s="1"/>
  <c r="F42" i="10"/>
  <c r="G42" i="10" s="1"/>
  <c r="H42" i="10" s="1"/>
  <c r="F43" i="10"/>
  <c r="G43" i="10" s="1"/>
  <c r="H43" i="10" s="1"/>
  <c r="F44" i="10"/>
  <c r="F45" i="10"/>
  <c r="F46" i="10"/>
  <c r="G46" i="10" s="1"/>
  <c r="H46" i="10" s="1"/>
  <c r="F47" i="10"/>
  <c r="F48" i="10"/>
  <c r="F49" i="10"/>
  <c r="G49" i="10" s="1"/>
  <c r="H49" i="10" s="1"/>
  <c r="F50" i="10"/>
  <c r="G50" i="10" s="1"/>
  <c r="H50" i="10" s="1"/>
  <c r="F51" i="10"/>
  <c r="G51" i="10" s="1"/>
  <c r="H51" i="10" s="1"/>
  <c r="F52" i="10"/>
  <c r="G52" i="10" s="1"/>
  <c r="H52" i="10" s="1"/>
  <c r="F53" i="10"/>
  <c r="F54" i="10"/>
  <c r="F55" i="10"/>
  <c r="F56" i="10"/>
  <c r="F57" i="10"/>
  <c r="G57" i="10" s="1"/>
  <c r="H57" i="10" s="1"/>
  <c r="F58" i="10"/>
  <c r="G58" i="10" s="1"/>
  <c r="H58" i="10" s="1"/>
  <c r="F59" i="10"/>
  <c r="G59" i="10" s="1"/>
  <c r="H59" i="10" s="1"/>
  <c r="F60" i="10"/>
  <c r="G60" i="10" s="1"/>
  <c r="H60" i="10" s="1"/>
  <c r="F61" i="10"/>
  <c r="G61" i="10" s="1"/>
  <c r="H61" i="10" s="1"/>
  <c r="F62" i="10"/>
  <c r="F63" i="10"/>
  <c r="F64" i="10"/>
  <c r="F65" i="10"/>
  <c r="G65" i="10" s="1"/>
  <c r="H65" i="10" s="1"/>
  <c r="F66" i="10"/>
  <c r="G66" i="10" s="1"/>
  <c r="H66" i="10" s="1"/>
  <c r="F67" i="10"/>
  <c r="G67" i="10" s="1"/>
  <c r="H67" i="10" s="1"/>
  <c r="F68" i="10"/>
  <c r="G68" i="10" s="1"/>
  <c r="H68" i="10" s="1"/>
  <c r="F69" i="10"/>
  <c r="G69" i="10" s="1"/>
  <c r="H69" i="10" s="1"/>
  <c r="F70" i="10"/>
  <c r="F71" i="10"/>
  <c r="F72" i="10"/>
  <c r="F73" i="10"/>
  <c r="G73" i="10" s="1"/>
  <c r="H73" i="10" s="1"/>
  <c r="F74" i="10"/>
  <c r="G74" i="10" s="1"/>
  <c r="H74" i="10" s="1"/>
  <c r="F75" i="10"/>
  <c r="G75" i="10" s="1"/>
  <c r="H75" i="10" s="1"/>
  <c r="F76" i="10"/>
  <c r="G76" i="10" s="1"/>
  <c r="H76" i="10" s="1"/>
  <c r="F77" i="10"/>
  <c r="F78" i="10"/>
  <c r="F79" i="10"/>
  <c r="F80" i="10"/>
  <c r="F81" i="10"/>
  <c r="G81" i="10" s="1"/>
  <c r="H81" i="10" s="1"/>
  <c r="F82" i="10"/>
  <c r="G82" i="10" s="1"/>
  <c r="H82" i="10" s="1"/>
  <c r="F83" i="10"/>
  <c r="G83" i="10" s="1"/>
  <c r="H83" i="10" s="1"/>
  <c r="F84" i="10"/>
  <c r="G84" i="10" s="1"/>
  <c r="H84" i="10" s="1"/>
  <c r="F85" i="10"/>
  <c r="G85" i="10" s="1"/>
  <c r="H85" i="10" s="1"/>
  <c r="F86" i="10"/>
  <c r="G86" i="10" s="1"/>
  <c r="H86" i="10" s="1"/>
  <c r="F87" i="10"/>
  <c r="F88" i="10"/>
  <c r="F89" i="10"/>
  <c r="G89" i="10" s="1"/>
  <c r="H89" i="10" s="1"/>
  <c r="F90" i="10"/>
  <c r="F91" i="10"/>
  <c r="G91" i="10" s="1"/>
  <c r="H91" i="10" s="1"/>
  <c r="G4" i="10"/>
  <c r="H4" i="10" s="1"/>
  <c r="G5" i="10"/>
  <c r="H5" i="10" s="1"/>
  <c r="G29" i="10"/>
  <c r="H29" i="10" s="1"/>
  <c r="G37" i="10"/>
  <c r="H37" i="10" s="1"/>
  <c r="G45" i="10"/>
  <c r="H45" i="10" s="1"/>
  <c r="G53" i="10"/>
  <c r="H53" i="10" s="1"/>
  <c r="G77" i="10"/>
  <c r="H77" i="10" s="1"/>
  <c r="G80" i="10"/>
  <c r="H80" i="10" s="1"/>
  <c r="G88" i="10"/>
  <c r="H88" i="10" s="1"/>
  <c r="J91" i="10"/>
  <c r="J90" i="10"/>
  <c r="G90" i="10"/>
  <c r="H90" i="10" s="1"/>
  <c r="J89" i="10"/>
  <c r="J88" i="10"/>
  <c r="J87" i="10"/>
  <c r="G87" i="10"/>
  <c r="H87" i="10" s="1"/>
  <c r="J86" i="10"/>
  <c r="J85" i="10"/>
  <c r="J84" i="10"/>
  <c r="J83" i="10"/>
  <c r="J82" i="10"/>
  <c r="J81" i="10"/>
  <c r="J80" i="10"/>
  <c r="J79" i="10"/>
  <c r="G79" i="10"/>
  <c r="H79" i="10" s="1"/>
  <c r="J78" i="10"/>
  <c r="G78" i="10"/>
  <c r="H78" i="10" s="1"/>
  <c r="J77" i="10"/>
  <c r="J76" i="10"/>
  <c r="J75" i="10"/>
  <c r="J74" i="10"/>
  <c r="J73" i="10"/>
  <c r="J72" i="10"/>
  <c r="G72" i="10"/>
  <c r="H72" i="10" s="1"/>
  <c r="J71" i="10"/>
  <c r="G71" i="10"/>
  <c r="H71" i="10" s="1"/>
  <c r="J70" i="10"/>
  <c r="G70" i="10"/>
  <c r="H70" i="10" s="1"/>
  <c r="J69" i="10"/>
  <c r="J68" i="10"/>
  <c r="J67" i="10"/>
  <c r="J66" i="10"/>
  <c r="J65" i="10"/>
  <c r="J64" i="10"/>
  <c r="G64" i="10"/>
  <c r="H64" i="10" s="1"/>
  <c r="J63" i="10"/>
  <c r="G63" i="10"/>
  <c r="H63" i="10" s="1"/>
  <c r="J62" i="10"/>
  <c r="G62" i="10"/>
  <c r="H62" i="10" s="1"/>
  <c r="J61" i="10"/>
  <c r="J60" i="10"/>
  <c r="J59" i="10"/>
  <c r="J58" i="10"/>
  <c r="J57" i="10"/>
  <c r="J56" i="10"/>
  <c r="G56" i="10"/>
  <c r="H56" i="10" s="1"/>
  <c r="J55" i="10"/>
  <c r="G55" i="10"/>
  <c r="H55" i="10" s="1"/>
  <c r="J54" i="10"/>
  <c r="G54" i="10"/>
  <c r="H54" i="10" s="1"/>
  <c r="J53" i="10"/>
  <c r="J52" i="10"/>
  <c r="J51" i="10"/>
  <c r="J50" i="10"/>
  <c r="J49" i="10"/>
  <c r="J48" i="10"/>
  <c r="G48" i="10"/>
  <c r="H48" i="10" s="1"/>
  <c r="J47" i="10"/>
  <c r="G47" i="10"/>
  <c r="H47" i="10" s="1"/>
  <c r="J46" i="10"/>
  <c r="J45" i="10"/>
  <c r="J44" i="10"/>
  <c r="G44" i="10"/>
  <c r="H44" i="10" s="1"/>
  <c r="J43" i="10"/>
  <c r="J42" i="10"/>
  <c r="J41" i="10"/>
  <c r="J40" i="10"/>
  <c r="J39" i="10"/>
  <c r="J38" i="10"/>
  <c r="J37" i="10"/>
  <c r="J36" i="10"/>
  <c r="J35" i="10"/>
  <c r="J34" i="10"/>
  <c r="G34" i="10"/>
  <c r="H34" i="10" s="1"/>
  <c r="J33" i="10"/>
  <c r="J32" i="10"/>
  <c r="G32" i="10"/>
  <c r="H32" i="10" s="1"/>
  <c r="J31" i="10"/>
  <c r="G31" i="10"/>
  <c r="H31" i="10" s="1"/>
  <c r="J30" i="10"/>
  <c r="J29" i="10"/>
  <c r="J28" i="10"/>
  <c r="J27" i="10"/>
  <c r="J26" i="10"/>
  <c r="G7" i="10"/>
  <c r="H7" i="10" s="1"/>
  <c r="G8" i="10"/>
  <c r="H8" i="10" s="1"/>
  <c r="G9" i="10"/>
  <c r="H9" i="10" s="1"/>
  <c r="G10" i="10"/>
  <c r="H10" i="10" s="1"/>
  <c r="G15" i="10"/>
  <c r="H15" i="10" s="1"/>
  <c r="G16" i="10"/>
  <c r="H16" i="10" s="1"/>
  <c r="G20" i="10"/>
  <c r="H20" i="10" s="1"/>
  <c r="G23" i="10"/>
  <c r="H23" i="10" s="1"/>
  <c r="G24" i="10"/>
  <c r="H24" i="10" s="1"/>
  <c r="J4" i="10"/>
  <c r="J5" i="10"/>
  <c r="J6" i="10"/>
  <c r="J7" i="10"/>
  <c r="J8" i="10"/>
  <c r="J9" i="10"/>
  <c r="J10" i="10"/>
  <c r="J11" i="10"/>
  <c r="J12" i="10"/>
  <c r="J13" i="10"/>
  <c r="J14" i="10"/>
  <c r="J15" i="10"/>
  <c r="J16" i="10"/>
  <c r="J17" i="10"/>
  <c r="J18" i="10"/>
  <c r="J19" i="10"/>
  <c r="J20" i="10"/>
  <c r="J21" i="10"/>
  <c r="J22" i="10"/>
  <c r="J23" i="10"/>
  <c r="J24" i="10"/>
  <c r="J25" i="10"/>
  <c r="G6" i="10"/>
  <c r="H6" i="10" s="1"/>
  <c r="G14" i="10"/>
  <c r="H14" i="10" s="1"/>
  <c r="G22" i="10"/>
  <c r="H22" i="10" s="1"/>
  <c r="K87" i="1"/>
  <c r="G34" i="1"/>
  <c r="D65" i="1" l="1"/>
  <c r="D23" i="1"/>
  <c r="L25" i="1"/>
  <c r="L30" i="1"/>
  <c r="G35" i="1"/>
  <c r="G41" i="1"/>
  <c r="I41" i="1"/>
  <c r="D66" i="1" s="1"/>
  <c r="L41" i="1"/>
  <c r="G42" i="1"/>
  <c r="I42" i="1"/>
  <c r="L42" i="1"/>
  <c r="G43" i="1"/>
  <c r="I43" i="1"/>
  <c r="G44" i="1"/>
  <c r="L44" i="1"/>
  <c r="G45" i="1"/>
  <c r="I45" i="1"/>
  <c r="J64" i="1" s="1"/>
  <c r="G46" i="1"/>
  <c r="I46" i="1"/>
  <c r="G47" i="1"/>
  <c r="I47" i="1"/>
  <c r="G48" i="1"/>
  <c r="I48" i="1"/>
  <c r="L63" i="1" s="1"/>
  <c r="G49" i="1"/>
  <c r="I49" i="1"/>
  <c r="G50" i="1"/>
  <c r="G51" i="1"/>
  <c r="I51" i="1"/>
  <c r="E52" i="1"/>
  <c r="D20" i="1" s="1"/>
  <c r="I53" i="1"/>
  <c r="I54" i="1"/>
  <c r="L66" i="1" s="1"/>
  <c r="I55" i="1"/>
  <c r="I56" i="1"/>
  <c r="L67" i="1" s="1"/>
  <c r="B63" i="1"/>
  <c r="B65" i="1" s="1"/>
  <c r="D63" i="1"/>
  <c r="L68" i="1" s="1"/>
  <c r="B64" i="1"/>
  <c r="L65" i="1"/>
  <c r="D67" i="1"/>
  <c r="J67" i="1"/>
  <c r="L69" i="1"/>
  <c r="F100" i="1"/>
  <c r="B101" i="1"/>
  <c r="C101" i="1"/>
  <c r="D101" i="1"/>
  <c r="E101" i="1"/>
  <c r="F101" i="1"/>
  <c r="B102" i="1"/>
  <c r="C102" i="1"/>
  <c r="D102" i="1"/>
  <c r="E102" i="1"/>
  <c r="F102" i="1"/>
  <c r="B103" i="1"/>
  <c r="C103" i="1"/>
  <c r="D103" i="1"/>
  <c r="E103" i="1"/>
  <c r="F103" i="1"/>
  <c r="B104" i="1"/>
  <c r="C104" i="1"/>
  <c r="D104" i="1"/>
  <c r="E104" i="1"/>
  <c r="F104" i="1"/>
  <c r="B105" i="1"/>
  <c r="C105" i="1"/>
  <c r="D105" i="1"/>
  <c r="E105" i="1"/>
  <c r="F110" i="1"/>
  <c r="B111" i="1"/>
  <c r="C111" i="1"/>
  <c r="D111" i="1"/>
  <c r="E111" i="1"/>
  <c r="F111" i="1"/>
  <c r="B112" i="1"/>
  <c r="C112" i="1"/>
  <c r="D112" i="1"/>
  <c r="F112" i="1"/>
  <c r="B113" i="1"/>
  <c r="C113" i="1"/>
  <c r="D113" i="1"/>
  <c r="F113" i="1"/>
  <c r="B114" i="1"/>
  <c r="C114" i="1"/>
  <c r="D114" i="1"/>
  <c r="B115" i="1"/>
  <c r="C115" i="1"/>
  <c r="D115" i="1"/>
  <c r="F116" i="1"/>
  <c r="B4" i="2"/>
  <c r="D5" i="2"/>
  <c r="B6" i="2"/>
  <c r="F143" i="2" s="1"/>
  <c r="D6" i="2"/>
  <c r="D133" i="2" s="1"/>
  <c r="D7" i="2"/>
  <c r="B9" i="2"/>
  <c r="B14" i="2"/>
  <c r="G20" i="2"/>
  <c r="C23" i="2"/>
  <c r="H127" i="2"/>
  <c r="E129" i="2"/>
  <c r="E130" i="2"/>
  <c r="E133" i="2"/>
  <c r="H139" i="2"/>
  <c r="E142" i="2"/>
  <c r="H142" i="2" s="1"/>
  <c r="E146" i="2"/>
  <c r="E147" i="2"/>
  <c r="D148" i="2"/>
  <c r="E150" i="2"/>
  <c r="D12" i="2" l="1"/>
  <c r="F63" i="1"/>
  <c r="F129" i="2"/>
  <c r="F141" i="2"/>
  <c r="H141" i="2" s="1"/>
  <c r="F148" i="2"/>
  <c r="F147" i="2"/>
  <c r="F135" i="2"/>
  <c r="F140" i="2"/>
  <c r="H140" i="2" s="1"/>
  <c r="F132" i="2"/>
  <c r="F145" i="2"/>
  <c r="F131" i="2"/>
  <c r="H67" i="1"/>
  <c r="B66" i="1"/>
  <c r="C77" i="1" s="1"/>
  <c r="H66" i="1"/>
  <c r="J63" i="1" s="1"/>
  <c r="H70" i="1" s="1"/>
  <c r="F64" i="1"/>
  <c r="F65" i="1"/>
  <c r="H68" i="1" s="1"/>
  <c r="J68" i="1" s="1"/>
  <c r="L64" i="1"/>
  <c r="D70" i="1"/>
  <c r="F70" i="1" s="1"/>
  <c r="G84" i="1" s="1"/>
  <c r="D69" i="1"/>
  <c r="G79" i="1" s="1"/>
  <c r="B67" i="1"/>
  <c r="H87" i="1"/>
  <c r="H17" i="1" s="1"/>
  <c r="J65" i="1"/>
  <c r="J69" i="1"/>
  <c r="C100" i="1"/>
  <c r="D100" i="1"/>
  <c r="F99" i="1"/>
  <c r="B100" i="1"/>
  <c r="D68" i="1"/>
  <c r="I52" i="1"/>
  <c r="G52" i="1"/>
  <c r="F52" i="1" s="1"/>
  <c r="F66" i="1" s="1"/>
  <c r="E87" i="1"/>
  <c r="H16" i="1" s="1"/>
  <c r="H63" i="1"/>
  <c r="D135" i="2"/>
  <c r="F144" i="2"/>
  <c r="B7" i="2"/>
  <c r="H4" i="2" s="1"/>
  <c r="H5" i="2" s="1"/>
  <c r="F149" i="2"/>
  <c r="F134" i="2"/>
  <c r="D149" i="2"/>
  <c r="E134" i="2"/>
  <c r="D64" i="1"/>
  <c r="I44" i="1" s="1"/>
  <c r="E151" i="2"/>
  <c r="D147" i="2"/>
  <c r="D146" i="2"/>
  <c r="E135" i="2"/>
  <c r="D134" i="2"/>
  <c r="E128" i="2"/>
  <c r="D21" i="2"/>
  <c r="G19" i="2"/>
  <c r="G21" i="2" s="1"/>
  <c r="E5" i="2"/>
  <c r="G10" i="1" s="1"/>
  <c r="F115" i="1" s="1"/>
  <c r="G14" i="2"/>
  <c r="F5" i="2"/>
  <c r="G11" i="1" s="1"/>
  <c r="F114" i="1" s="1"/>
  <c r="K78" i="1" l="1"/>
  <c r="C79" i="1"/>
  <c r="A81" i="1"/>
  <c r="L70" i="1"/>
  <c r="J70" i="1"/>
  <c r="J66" i="1"/>
  <c r="I50" i="1"/>
  <c r="H64" i="1" s="1"/>
  <c r="L43" i="1"/>
  <c r="F68" i="1" s="1"/>
  <c r="F69" i="1" s="1"/>
  <c r="H69" i="1" s="1"/>
  <c r="B87" i="1" s="1"/>
  <c r="H15" i="1" s="1"/>
  <c r="H19" i="1" s="1"/>
  <c r="H6" i="2"/>
  <c r="H7" i="2"/>
  <c r="K79" i="1"/>
  <c r="C81" i="1" l="1"/>
  <c r="H65" i="1"/>
  <c r="F67" i="1"/>
  <c r="C82" i="1" s="1"/>
  <c r="B88" i="1"/>
  <c r="L10" i="1" s="1"/>
  <c r="A82" i="1" l="1"/>
  <c r="C83" i="1" s="1"/>
  <c r="C84" i="1" s="1"/>
  <c r="K84" i="1" s="1"/>
  <c r="D4" i="2"/>
  <c r="D19" i="2"/>
  <c r="D20" i="2" s="1"/>
  <c r="D22" i="2" s="1"/>
  <c r="A17" i="3" s="1"/>
  <c r="D17" i="3" s="1"/>
  <c r="D27" i="1" l="1"/>
  <c r="D28" i="1"/>
  <c r="H18" i="1"/>
  <c r="B5" i="2"/>
  <c r="L9" i="1" s="1"/>
  <c r="B8" i="2"/>
  <c r="C147" i="2" s="1"/>
  <c r="E88" i="1"/>
  <c r="H24" i="1" s="1"/>
  <c r="E17" i="3"/>
  <c r="B17" i="3"/>
  <c r="D23" i="2" s="1"/>
  <c r="C17" i="3"/>
  <c r="G56" i="2" l="1"/>
  <c r="G132" i="2"/>
  <c r="G123" i="2"/>
  <c r="G104" i="2"/>
  <c r="G115" i="2"/>
  <c r="G55" i="2"/>
  <c r="G101" i="2"/>
  <c r="G34" i="2"/>
  <c r="G91" i="2"/>
  <c r="G83" i="2"/>
  <c r="G66" i="2"/>
  <c r="G131" i="2"/>
  <c r="G99" i="2"/>
  <c r="G64" i="2"/>
  <c r="G32" i="2"/>
  <c r="G102" i="2"/>
  <c r="G39" i="2"/>
  <c r="G146" i="2"/>
  <c r="G27" i="2"/>
  <c r="G87" i="2"/>
  <c r="G52" i="2"/>
  <c r="G134" i="2"/>
  <c r="G86" i="2"/>
  <c r="G92" i="2"/>
  <c r="G119" i="2"/>
  <c r="G117" i="2"/>
  <c r="G85" i="2"/>
  <c r="G50" i="2"/>
  <c r="G133" i="2"/>
  <c r="G84" i="2"/>
  <c r="G107" i="2"/>
  <c r="G75" i="2"/>
  <c r="G40" i="2"/>
  <c r="G112" i="2"/>
  <c r="G63" i="2"/>
  <c r="G48" i="2"/>
  <c r="G122" i="2"/>
  <c r="G80" i="2"/>
  <c r="G103" i="2"/>
  <c r="G68" i="2"/>
  <c r="G36" i="2"/>
  <c r="G108" i="2"/>
  <c r="G57" i="2"/>
  <c r="G121" i="2"/>
  <c r="G105" i="2"/>
  <c r="G89" i="2"/>
  <c r="G73" i="2"/>
  <c r="G54" i="2"/>
  <c r="G38" i="2"/>
  <c r="G135" i="2"/>
  <c r="G110" i="2"/>
  <c r="G88" i="2"/>
  <c r="G59" i="2"/>
  <c r="G31" i="2"/>
  <c r="G130" i="2"/>
  <c r="G113" i="2"/>
  <c r="G97" i="2"/>
  <c r="G81" i="2"/>
  <c r="G62" i="2"/>
  <c r="G46" i="2"/>
  <c r="G30" i="2"/>
  <c r="G120" i="2"/>
  <c r="G100" i="2"/>
  <c r="G78" i="2"/>
  <c r="G47" i="2"/>
  <c r="G49" i="2"/>
  <c r="G129" i="2"/>
  <c r="H129" i="2" s="1"/>
  <c r="G111" i="2"/>
  <c r="G95" i="2"/>
  <c r="G79" i="2"/>
  <c r="G60" i="2"/>
  <c r="G44" i="2"/>
  <c r="G28" i="2"/>
  <c r="G118" i="2"/>
  <c r="G96" i="2"/>
  <c r="G76" i="2"/>
  <c r="G43" i="2"/>
  <c r="G128" i="2"/>
  <c r="H128" i="2" s="1"/>
  <c r="G109" i="2"/>
  <c r="G93" i="2"/>
  <c r="G77" i="2"/>
  <c r="G58" i="2"/>
  <c r="G42" i="2"/>
  <c r="G147" i="2"/>
  <c r="H147" i="2" s="1"/>
  <c r="G116" i="2"/>
  <c r="G94" i="2"/>
  <c r="G65" i="2"/>
  <c r="G41" i="2"/>
  <c r="G114" i="2"/>
  <c r="G98" i="2"/>
  <c r="G82" i="2"/>
  <c r="G61" i="2"/>
  <c r="G45" i="2"/>
  <c r="G29" i="2"/>
  <c r="G106" i="2"/>
  <c r="G90" i="2"/>
  <c r="G74" i="2"/>
  <c r="G53" i="2"/>
  <c r="G37" i="2"/>
  <c r="G67" i="2"/>
  <c r="G51" i="2"/>
  <c r="G35" i="2"/>
  <c r="G33" i="2"/>
  <c r="C145" i="2"/>
  <c r="H145" i="2" s="1"/>
  <c r="C143" i="2"/>
  <c r="H143" i="2" s="1"/>
  <c r="C130" i="2"/>
  <c r="C134" i="2"/>
  <c r="C133" i="2"/>
  <c r="C135" i="2"/>
  <c r="C151" i="2"/>
  <c r="H151" i="2" s="1"/>
  <c r="C149" i="2"/>
  <c r="H149" i="2" s="1"/>
  <c r="C132" i="2"/>
  <c r="C146" i="2"/>
  <c r="C148" i="2"/>
  <c r="H148" i="2" s="1"/>
  <c r="C131" i="2"/>
  <c r="C150" i="2"/>
  <c r="H150" i="2" s="1"/>
  <c r="C144" i="2"/>
  <c r="H144" i="2" s="1"/>
  <c r="F109" i="1"/>
  <c r="C110" i="1"/>
  <c r="E109" i="1"/>
  <c r="B110" i="1"/>
  <c r="D110" i="1"/>
  <c r="H132" i="2" l="1"/>
  <c r="H134" i="2"/>
  <c r="G124" i="2"/>
  <c r="G69" i="2"/>
  <c r="H131" i="2"/>
  <c r="H133" i="2"/>
  <c r="H130" i="2"/>
  <c r="H146" i="2"/>
  <c r="H152" i="2" s="1"/>
  <c r="D9" i="2" s="1"/>
  <c r="H135" i="2"/>
  <c r="H9" i="2" l="1"/>
  <c r="L8" i="1" s="1"/>
  <c r="H136" i="2"/>
  <c r="D8" i="2" s="1"/>
  <c r="H8" i="2" s="1"/>
  <c r="L7" i="1" s="1"/>
  <c r="F9" i="2" l="1"/>
  <c r="L11" i="1" s="1"/>
  <c r="F7" i="2"/>
  <c r="H22" i="1" s="1"/>
  <c r="F107" i="1" s="1"/>
  <c r="F8" i="2"/>
  <c r="H25" i="1" s="1"/>
  <c r="G13" i="2"/>
  <c r="G15" i="2" s="1"/>
  <c r="H15" i="2" s="1"/>
  <c r="H14" i="2" l="1"/>
  <c r="G16" i="2"/>
  <c r="H16" i="2" s="1"/>
  <c r="G22" i="2"/>
  <c r="H22" i="2" s="1"/>
  <c r="H26" i="1" s="1"/>
  <c r="B107" i="1"/>
  <c r="D108" i="1"/>
  <c r="D107" i="1"/>
  <c r="B108" i="1"/>
  <c r="E107" i="1"/>
  <c r="E106" i="1"/>
  <c r="F106" i="1"/>
  <c r="L15" i="1"/>
  <c r="C108" i="1"/>
  <c r="C107" i="1"/>
  <c r="L12" i="1"/>
  <c r="L16" i="1"/>
  <c r="L17" i="1" s="1"/>
  <c r="L18" i="1" s="1"/>
  <c r="E108" i="1" l="1"/>
  <c r="B109" i="1"/>
  <c r="D109" i="1"/>
  <c r="F108" i="1"/>
  <c r="C109" i="1"/>
  <c r="L31" i="1"/>
  <c r="L32" i="1" s="1"/>
  <c r="E100" i="1"/>
  <c r="C106" i="1"/>
  <c r="E110" i="1"/>
  <c r="L24" i="1"/>
  <c r="B106" i="1"/>
  <c r="F105" i="1" l="1"/>
  <c r="D10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<sst xmlns="http://schemas.openxmlformats.org/spreadsheetml/2006/main" count="279" uniqueCount="263">
  <si>
    <t>Planilha de Cálculo do Método de Estimativa de Potência Propulsiva por J. Holtrop e G.G.J. Mennem</t>
  </si>
  <si>
    <t xml:space="preserve">            e seleção de propulsor Série_B</t>
  </si>
  <si>
    <t>COPPE - UFRJ - CIAGA : Hamilton Pessoa Picanço</t>
  </si>
  <si>
    <t>Dos trabalhos:</t>
  </si>
  <si>
    <t>A statistical re-analysis of resistance and propulsion data. (J.Holtrop)</t>
  </si>
  <si>
    <t>Further Computer-analyzed data of the Wageningen B-screw series. (MWC Oosterveld)</t>
  </si>
  <si>
    <t>OBS:</t>
  </si>
  <si>
    <t>Apenas os valores em azul devem ser modificados.</t>
  </si>
  <si>
    <t>Características Principais do Navio:</t>
  </si>
  <si>
    <t>Dados do propulsor Série B:</t>
  </si>
  <si>
    <t>Cálculo</t>
  </si>
  <si>
    <t>Diâmetro do Propulsor: (m)</t>
  </si>
  <si>
    <t>Coef. Força Propulsiva (KTs):</t>
  </si>
  <si>
    <t>Comp. perpendiculares: (m)</t>
  </si>
  <si>
    <t>Número de Pás do Propulsor:</t>
  </si>
  <si>
    <t>Coef. Torque (KQs):</t>
  </si>
  <si>
    <t>Comp. Linha D'água: (m)</t>
  </si>
  <si>
    <t>Profundidade do eixo (m):</t>
  </si>
  <si>
    <t>Coef. avanço (J):</t>
  </si>
  <si>
    <t>Boca Moldada: (m)</t>
  </si>
  <si>
    <t>Rotação:</t>
  </si>
  <si>
    <t>Veloc. avanço (Va) [m/s]:</t>
  </si>
  <si>
    <t>Calado Moldado na PV: (m)</t>
  </si>
  <si>
    <t>Razão de Áreas Fa/F:</t>
  </si>
  <si>
    <t>Torque do propulsor (Q) [KN.m]:</t>
  </si>
  <si>
    <t>Calado Moldado na PR: (m)</t>
  </si>
  <si>
    <t>Razão passo diâmetro:</t>
  </si>
  <si>
    <t>Diferença Forças Propulsivas:</t>
  </si>
  <si>
    <t>Vol. Desloc. Moldado: (m3)</t>
  </si>
  <si>
    <t>RESULTADOS</t>
  </si>
  <si>
    <t>LCB rel. à PR: (m)</t>
  </si>
  <si>
    <t>CASCO:</t>
  </si>
  <si>
    <t>Área Transv. do Bulbo (m2):</t>
  </si>
  <si>
    <t>Coef. Esteira (w):</t>
  </si>
  <si>
    <t>Eficiência propulsiva:</t>
  </si>
  <si>
    <t>Altura Centro Área Bulbo: (m)</t>
  </si>
  <si>
    <t>Coef. Red. Força Prop. (t):</t>
  </si>
  <si>
    <t>Potência por hélice (THP):</t>
  </si>
  <si>
    <t>Coef. Seção Mestra:</t>
  </si>
  <si>
    <r>
      <t>Efic. Rot. Relativa (</t>
    </r>
    <r>
      <rPr>
        <sz val="9"/>
        <rFont val="Symbol"/>
        <family val="1"/>
        <charset val="2"/>
      </rPr>
      <t>h</t>
    </r>
    <r>
      <rPr>
        <vertAlign val="subscript"/>
        <sz val="9"/>
        <rFont val="Arial"/>
        <family val="2"/>
      </rPr>
      <t>rr</t>
    </r>
    <r>
      <rPr>
        <sz val="9"/>
        <rFont val="Arial"/>
        <family val="2"/>
      </rPr>
      <t>):</t>
    </r>
  </si>
  <si>
    <t>Potência por eixo (PHP):</t>
  </si>
  <si>
    <t>Coef. Linha D'água:</t>
  </si>
  <si>
    <t>Potência Efetiva (EHP):</t>
  </si>
  <si>
    <t>Potência por motor (BHP):</t>
  </si>
  <si>
    <t>Área Transom: (m2)</t>
  </si>
  <si>
    <t>Eficiência do casco:</t>
  </si>
  <si>
    <t>Área Apêndices: (m2)</t>
  </si>
  <si>
    <t>MOTOR:</t>
  </si>
  <si>
    <t xml:space="preserve">Parâmetro Forma de Popa: </t>
  </si>
  <si>
    <t>PROPULSOR:</t>
  </si>
  <si>
    <t>Margem de rotação (%):</t>
  </si>
  <si>
    <t>Velocidade de serviço (nós)</t>
  </si>
  <si>
    <r>
      <t>Rend. águas abertas (</t>
    </r>
    <r>
      <rPr>
        <sz val="9"/>
        <rFont val="Symbol"/>
        <family val="1"/>
        <charset val="2"/>
      </rPr>
      <t>h</t>
    </r>
    <r>
      <rPr>
        <vertAlign val="subscript"/>
        <sz val="9"/>
        <rFont val="Arial"/>
        <family val="2"/>
      </rPr>
      <t>0</t>
    </r>
    <r>
      <rPr>
        <sz val="9"/>
        <rFont val="Arial"/>
        <family val="2"/>
      </rPr>
      <t>):</t>
    </r>
  </si>
  <si>
    <t>Margem de mar (%):</t>
  </si>
  <si>
    <t>Eficiência Mec.Transmissão:</t>
  </si>
  <si>
    <t>Força Propulsiva (KN):</t>
  </si>
  <si>
    <t>Margem de motor (%):</t>
  </si>
  <si>
    <t>Quantid. motores:</t>
  </si>
  <si>
    <t>Requerida:</t>
  </si>
  <si>
    <t>Pot. Req. motor (MCR) [HP]:</t>
  </si>
  <si>
    <t>Quantid. propulsores:</t>
  </si>
  <si>
    <t>Disponível:</t>
  </si>
  <si>
    <t>Rotação do motor (rpm):</t>
  </si>
  <si>
    <t>Cavitação:</t>
  </si>
  <si>
    <t>% dorso</t>
  </si>
  <si>
    <t>C:</t>
  </si>
  <si>
    <t>C1:</t>
  </si>
  <si>
    <t>Dc</t>
  </si>
  <si>
    <t>Características do Problema:</t>
  </si>
  <si>
    <t>Viscos. Cin. da Água: (m2/s)</t>
  </si>
  <si>
    <t>Padrao:</t>
  </si>
  <si>
    <t>Viscos. Din. da Água: (N.s/m2)</t>
  </si>
  <si>
    <t>Peso Específ. da Água: (Kg/m3)</t>
  </si>
  <si>
    <t>Aceleração da Gravidade: (m/s2)</t>
  </si>
  <si>
    <t>Apêndices:</t>
  </si>
  <si>
    <t xml:space="preserve">Área </t>
  </si>
  <si>
    <t>1+k2</t>
  </si>
  <si>
    <t>Produto</t>
  </si>
  <si>
    <t>Coeficientes:</t>
  </si>
  <si>
    <t xml:space="preserve">Leme a re de cadaste </t>
  </si>
  <si>
    <t xml:space="preserve">T / L = </t>
  </si>
  <si>
    <t>L / B - 2 =</t>
  </si>
  <si>
    <t>Leme a re de popa</t>
  </si>
  <si>
    <t xml:space="preserve">CB lwl = </t>
  </si>
  <si>
    <r>
      <t>h</t>
    </r>
    <r>
      <rPr>
        <vertAlign val="subscript"/>
        <sz val="9"/>
        <color indexed="8"/>
        <rFont val="Arial"/>
        <family val="2"/>
      </rPr>
      <t>b</t>
    </r>
  </si>
  <si>
    <t>Lemes compensados de bi-helice</t>
  </si>
  <si>
    <t xml:space="preserve">CB lpp = </t>
  </si>
  <si>
    <t>L / Lr</t>
  </si>
  <si>
    <t xml:space="preserve"> Pe-de-galinha</t>
  </si>
  <si>
    <t>B / Lr =</t>
  </si>
  <si>
    <t>L / Ta =</t>
  </si>
  <si>
    <t xml:space="preserve"> Cadaste</t>
  </si>
  <si>
    <t>Tm =</t>
  </si>
  <si>
    <t xml:space="preserve"> Leme a re do propulsor</t>
  </si>
  <si>
    <t xml:space="preserve">B / L = </t>
  </si>
  <si>
    <t xml:space="preserve"> Bosso do eixo</t>
  </si>
  <si>
    <t xml:space="preserve">L / B = </t>
  </si>
  <si>
    <t xml:space="preserve"> Eixo do propulsor</t>
  </si>
  <si>
    <t xml:space="preserve">L3 / Vol = </t>
  </si>
  <si>
    <t xml:space="preserve"> Estabilizador</t>
  </si>
  <si>
    <t xml:space="preserve">Vol / L3 = </t>
  </si>
  <si>
    <t xml:space="preserve"> Sonar-dome</t>
  </si>
  <si>
    <t>Lr / B  =</t>
  </si>
  <si>
    <t xml:space="preserve"> Bolina</t>
  </si>
  <si>
    <t xml:space="preserve">T / B = </t>
  </si>
  <si>
    <t>Total:</t>
  </si>
  <si>
    <t xml:space="preserve">L / T = </t>
  </si>
  <si>
    <t xml:space="preserve">Vol^(1/3)/L = </t>
  </si>
  <si>
    <t xml:space="preserve">Tf / L = </t>
  </si>
  <si>
    <t>Bow Thruster:</t>
  </si>
  <si>
    <t>Diâmetro (m) =</t>
  </si>
  <si>
    <t>B / TA =</t>
  </si>
  <si>
    <t>Coef. Arraste Tunel :</t>
  </si>
  <si>
    <t>TA / D =</t>
  </si>
  <si>
    <t>CÁLCULOS</t>
  </si>
  <si>
    <t>Coeficientes e características Propulsivas :</t>
  </si>
  <si>
    <t>Vel. (m/s):</t>
  </si>
  <si>
    <t>Cp</t>
  </si>
  <si>
    <t>C17</t>
  </si>
  <si>
    <t>C7</t>
  </si>
  <si>
    <t>C2</t>
  </si>
  <si>
    <t>C15</t>
  </si>
  <si>
    <t>Vel. (nós):</t>
  </si>
  <si>
    <t>Lr (m)</t>
  </si>
  <si>
    <r>
      <t>m</t>
    </r>
    <r>
      <rPr>
        <b/>
        <vertAlign val="subscript"/>
        <sz val="8"/>
        <color indexed="8"/>
        <rFont val="Arial"/>
        <family val="2"/>
      </rPr>
      <t>3</t>
    </r>
  </si>
  <si>
    <t>Ie (graus)</t>
  </si>
  <si>
    <t>C5</t>
  </si>
  <si>
    <t>l</t>
  </si>
  <si>
    <t>Fn</t>
  </si>
  <si>
    <t>lcb (%)</t>
  </si>
  <si>
    <t>S (m2)</t>
  </si>
  <si>
    <t>C1</t>
  </si>
  <si>
    <t>C16</t>
  </si>
  <si>
    <t>Pb</t>
  </si>
  <si>
    <t>Re</t>
  </si>
  <si>
    <t>C12</t>
  </si>
  <si>
    <t>(1+ K2)eq</t>
  </si>
  <si>
    <t>C3</t>
  </si>
  <si>
    <r>
      <t>m</t>
    </r>
    <r>
      <rPr>
        <b/>
        <vertAlign val="subscript"/>
        <sz val="8"/>
        <color indexed="8"/>
        <rFont val="Arial"/>
        <family val="2"/>
      </rPr>
      <t>1</t>
    </r>
  </si>
  <si>
    <t>C4</t>
  </si>
  <si>
    <t>Cb</t>
  </si>
  <si>
    <t>C14</t>
  </si>
  <si>
    <r>
      <t>m</t>
    </r>
    <r>
      <rPr>
        <b/>
        <vertAlign val="subscript"/>
        <sz val="8"/>
        <color indexed="8"/>
        <rFont val="Arial"/>
        <family val="2"/>
      </rPr>
      <t>4</t>
    </r>
  </si>
  <si>
    <t>d</t>
  </si>
  <si>
    <t>C11</t>
  </si>
  <si>
    <t>(1+ K1)</t>
  </si>
  <si>
    <t>C8</t>
  </si>
  <si>
    <t>C9</t>
  </si>
  <si>
    <t>C19</t>
  </si>
  <si>
    <t>Fni</t>
  </si>
  <si>
    <t>(1+ K)</t>
  </si>
  <si>
    <t xml:space="preserve">Cv </t>
  </si>
  <si>
    <t>Cp1</t>
  </si>
  <si>
    <t>C20</t>
  </si>
  <si>
    <t>Fnt</t>
  </si>
  <si>
    <t>C6</t>
  </si>
  <si>
    <t>Ca</t>
  </si>
  <si>
    <r>
      <t>m</t>
    </r>
    <r>
      <rPr>
        <vertAlign val="subscript"/>
        <sz val="8"/>
        <rFont val="Arial"/>
        <family val="2"/>
      </rPr>
      <t>4</t>
    </r>
    <r>
      <rPr>
        <sz val="8"/>
        <rFont val="Arial"/>
        <family val="2"/>
      </rPr>
      <t>cos(</t>
    </r>
    <r>
      <rPr>
        <sz val="8"/>
        <rFont val="Symbol"/>
        <family val="1"/>
        <charset val="2"/>
      </rPr>
      <t>l</t>
    </r>
    <r>
      <rPr>
        <sz val="8"/>
        <rFont val="Arial"/>
        <family val="2"/>
      </rPr>
      <t>F</t>
    </r>
    <r>
      <rPr>
        <vertAlign val="superscript"/>
        <sz val="8"/>
        <rFont val="Arial"/>
        <family val="2"/>
      </rPr>
      <t>-2</t>
    </r>
    <r>
      <rPr>
        <sz val="8"/>
        <rFont val="Arial"/>
        <family val="2"/>
      </rPr>
      <t>)</t>
    </r>
  </si>
  <si>
    <r>
      <t>m</t>
    </r>
    <r>
      <rPr>
        <vertAlign val="subscript"/>
        <sz val="8"/>
        <rFont val="Arial"/>
        <family val="2"/>
      </rPr>
      <t>3 *</t>
    </r>
    <r>
      <rPr>
        <sz val="8"/>
        <rFont val="Arial"/>
        <family val="2"/>
      </rPr>
      <t>Fn</t>
    </r>
    <r>
      <rPr>
        <vertAlign val="superscript"/>
        <sz val="8"/>
        <rFont val="Arial"/>
        <family val="2"/>
      </rPr>
      <t>d</t>
    </r>
  </si>
  <si>
    <t>Resistência friccional:</t>
  </si>
  <si>
    <t>Resistência do bulbo:</t>
  </si>
  <si>
    <t>Resistência dos apêndices e correlação:</t>
  </si>
  <si>
    <t>Cf</t>
  </si>
  <si>
    <t>Ra (KN)</t>
  </si>
  <si>
    <t>Rf (KN)</t>
  </si>
  <si>
    <t>Rb (KN)</t>
  </si>
  <si>
    <t>Rapp (KN)</t>
  </si>
  <si>
    <t>Resistência de ondas:</t>
  </si>
  <si>
    <t>Resistência de transom:</t>
  </si>
  <si>
    <t>Resistência total:</t>
  </si>
  <si>
    <r>
      <t xml:space="preserve">R </t>
    </r>
    <r>
      <rPr>
        <vertAlign val="subscript"/>
        <sz val="9"/>
        <rFont val="Arial"/>
        <family val="2"/>
      </rPr>
      <t>W-B</t>
    </r>
  </si>
  <si>
    <t>KN</t>
  </si>
  <si>
    <r>
      <t xml:space="preserve">R </t>
    </r>
    <r>
      <rPr>
        <vertAlign val="subscript"/>
        <sz val="9"/>
        <rFont val="Arial"/>
        <family val="2"/>
      </rPr>
      <t>W-A</t>
    </r>
  </si>
  <si>
    <r>
      <t xml:space="preserve">R </t>
    </r>
    <r>
      <rPr>
        <vertAlign val="subscript"/>
        <sz val="9"/>
        <rFont val="Arial"/>
        <family val="2"/>
      </rPr>
      <t>W0,4</t>
    </r>
  </si>
  <si>
    <r>
      <t xml:space="preserve">R </t>
    </r>
    <r>
      <rPr>
        <b/>
        <vertAlign val="subscript"/>
        <sz val="9"/>
        <rFont val="Arial"/>
        <family val="2"/>
      </rPr>
      <t xml:space="preserve">W </t>
    </r>
    <r>
      <rPr>
        <b/>
        <sz val="9"/>
        <rFont val="Arial"/>
        <family val="2"/>
      </rPr>
      <t>(KN)</t>
    </r>
  </si>
  <si>
    <t>Rtr (KN)</t>
  </si>
  <si>
    <t>RT (KN)</t>
  </si>
  <si>
    <t>Parâmetros de propulsão</t>
  </si>
  <si>
    <t>w =</t>
  </si>
  <si>
    <t>t =</t>
  </si>
  <si>
    <r>
      <t>h</t>
    </r>
    <r>
      <rPr>
        <b/>
        <vertAlign val="subscript"/>
        <sz val="12"/>
        <rFont val="Arial"/>
        <family val="2"/>
      </rPr>
      <t>rr</t>
    </r>
    <r>
      <rPr>
        <b/>
        <sz val="12"/>
        <rFont val="Symbol"/>
        <family val="1"/>
        <charset val="2"/>
      </rPr>
      <t xml:space="preserve"> =</t>
    </r>
  </si>
  <si>
    <t>Fa/F =</t>
  </si>
  <si>
    <t>Va =</t>
  </si>
  <si>
    <t>m/s</t>
  </si>
  <si>
    <t>Treq =</t>
  </si>
  <si>
    <t>Planilha de cálculo de propulsor Série-B</t>
  </si>
  <si>
    <t>EFICIÊNCIA</t>
  </si>
  <si>
    <t>Rot. (rpm)</t>
  </si>
  <si>
    <t>Va (m/s):</t>
  </si>
  <si>
    <t>Fa / F:min</t>
  </si>
  <si>
    <t>Fa / F:max</t>
  </si>
  <si>
    <t>t/c0.75r:</t>
  </si>
  <si>
    <t>J:</t>
  </si>
  <si>
    <t>Fa / F:</t>
  </si>
  <si>
    <t>Delta CD:</t>
  </si>
  <si>
    <t>P / D:</t>
  </si>
  <si>
    <t>Z:</t>
  </si>
  <si>
    <t>Delta KTs:</t>
  </si>
  <si>
    <r>
      <t>C</t>
    </r>
    <r>
      <rPr>
        <vertAlign val="subscript"/>
        <sz val="10"/>
        <rFont val="Arial"/>
        <family val="2"/>
      </rPr>
      <t xml:space="preserve">0.75R </t>
    </r>
    <r>
      <rPr>
        <sz val="10"/>
        <rFont val="Arial"/>
        <family val="2"/>
      </rPr>
      <t>(m):</t>
    </r>
  </si>
  <si>
    <t>Diâm. (m):</t>
  </si>
  <si>
    <t>Rend. A.A=</t>
  </si>
  <si>
    <t>Delta KQs:</t>
  </si>
  <si>
    <r>
      <t>Rn</t>
    </r>
    <r>
      <rPr>
        <vertAlign val="subscript"/>
        <sz val="10"/>
        <rFont val="Arial"/>
        <family val="2"/>
      </rPr>
      <t xml:space="preserve">0.75R </t>
    </r>
    <r>
      <rPr>
        <sz val="10"/>
        <rFont val="Arial"/>
        <family val="2"/>
      </rPr>
      <t>(m):</t>
    </r>
  </si>
  <si>
    <t>DeltaKT</t>
  </si>
  <si>
    <t>T pro(KN):</t>
  </si>
  <si>
    <t>KTs :</t>
  </si>
  <si>
    <t>Prof. eixo (m):</t>
  </si>
  <si>
    <t>DeltaKQ</t>
  </si>
  <si>
    <t>Q pro(KN.m):</t>
  </si>
  <si>
    <t>KQs :</t>
  </si>
  <si>
    <t>CAVITAÇÃO</t>
  </si>
  <si>
    <t>HOLTROP</t>
  </si>
  <si>
    <t>Po (Pa):</t>
  </si>
  <si>
    <t>Sigma:</t>
  </si>
  <si>
    <t>Pv (Pa):</t>
  </si>
  <si>
    <t>Coef.indep.  de velocidade da Série-B (disponível):</t>
  </si>
  <si>
    <t>P hid (Pa):</t>
  </si>
  <si>
    <t>Coef. indep. de velocidade BI (requerido):</t>
  </si>
  <si>
    <t>Fator de acréscimo permitido de rotação (Fn):</t>
  </si>
  <si>
    <t>%</t>
  </si>
  <si>
    <t>Fator de acréscimo da potência devido cavitação (Fp):</t>
  </si>
  <si>
    <t>BURRILL</t>
  </si>
  <si>
    <r>
      <t>V</t>
    </r>
    <r>
      <rPr>
        <vertAlign val="subscript"/>
        <sz val="10"/>
        <rFont val="Arial"/>
        <family val="2"/>
      </rPr>
      <t>0.7R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:</t>
    </r>
  </si>
  <si>
    <t>Ae / Ao:</t>
  </si>
  <si>
    <t>qt (Pa):</t>
  </si>
  <si>
    <r>
      <t>Ao (m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):</t>
    </r>
  </si>
  <si>
    <t>Po - Pv (Pa):</t>
  </si>
  <si>
    <r>
      <t>Fp (m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):</t>
    </r>
  </si>
  <si>
    <r>
      <t>Fp</t>
    </r>
    <r>
      <rPr>
        <vertAlign val="subscript"/>
        <sz val="10"/>
        <rFont val="Arial"/>
        <family val="2"/>
      </rPr>
      <t xml:space="preserve"> mín </t>
    </r>
    <r>
      <rPr>
        <sz val="10"/>
        <rFont val="Arial"/>
        <family val="2"/>
      </rPr>
      <t>(m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):</t>
    </r>
  </si>
  <si>
    <t>POLINÔMIOS INTERPOLADORES</t>
  </si>
  <si>
    <t>KT</t>
  </si>
  <si>
    <t>KT :</t>
  </si>
  <si>
    <t>KQ</t>
  </si>
  <si>
    <t>KQ :</t>
  </si>
  <si>
    <t>LogRn</t>
  </si>
  <si>
    <t>z</t>
  </si>
  <si>
    <t>Fa/F</t>
  </si>
  <si>
    <t>P/D</t>
  </si>
  <si>
    <t>J</t>
  </si>
  <si>
    <t>Diagrama de Burril</t>
  </si>
  <si>
    <t>Sigma</t>
  </si>
  <si>
    <t>5%</t>
  </si>
  <si>
    <t>10%</t>
  </si>
  <si>
    <t>20%</t>
  </si>
  <si>
    <t>30%</t>
  </si>
  <si>
    <t>T1</t>
  </si>
  <si>
    <t>T2</t>
  </si>
  <si>
    <t>T3</t>
  </si>
  <si>
    <t>T4</t>
  </si>
  <si>
    <t>EHP</t>
  </si>
  <si>
    <t>BHP</t>
  </si>
  <si>
    <t>IHP</t>
  </si>
  <si>
    <t>Velocidade (nós)</t>
  </si>
  <si>
    <t>RT</t>
  </si>
  <si>
    <t>Resitência ao avanço (kN)</t>
  </si>
  <si>
    <t>Viagens Redondas (30 dias)</t>
  </si>
  <si>
    <t>Viagens por ano (365 dias)</t>
  </si>
  <si>
    <t>Deslocamento</t>
  </si>
  <si>
    <t>% TPB</t>
  </si>
  <si>
    <t>Calado</t>
  </si>
  <si>
    <t>Deslocamento leve</t>
  </si>
  <si>
    <t>TPB</t>
  </si>
  <si>
    <t>OBS: Caso os valores de deslocamento leve e de TPB sejam alterados, deve-se refazer os cálculos para as resistências ao avanço, uma vez que esse passo não está automatizado.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</si>
</sst>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3">
    <numFmt numFmtId="164" formatCode="_(* #,##0.00_);_(* \(#,##0.00\);_(* &quot;-&quot;??_);_(@_)"/>
    <numFmt numFmtId="165" formatCode="#,##0.0"/>
    <numFmt numFmtId="166" formatCode="#,##0.000"/>
    <numFmt numFmtId="167" formatCode="#,##0.0000"/>
    <numFmt numFmtId="168" formatCode="0.0"/>
    <numFmt numFmtId="169" formatCode="_(* #,##0.000_);_(* \(#,##0.000\);_(* &quot;-&quot;??_);_(@_)"/>
    <numFmt numFmtId="170" formatCode="_(* #,##0.0000_);_(* \(#,##0.0000\);_(* &quot;-&quot;??_);_(@_)"/>
    <numFmt numFmtId="171" formatCode="_(* #,##0.00000_);_(* \(#,##0.00000\);_(* &quot;-&quot;??_);_(@_)"/>
    <numFmt numFmtId="172" formatCode="0.0000000"/>
    <numFmt numFmtId="173" formatCode="0.000000"/>
    <numFmt numFmtId="174" formatCode="0.00000"/>
    <numFmt numFmtId="175" formatCode="0.0000"/>
    <numFmt numFmtId="176" formatCode="0.000E+00"/>
    <numFmt numFmtId="177" formatCode="0.000"/>
    <numFmt numFmtId="178" formatCode="_(* #,##0.000000_);_(* \(#,##0.000000\);_(* &quot;-&quot;??_);_(@_)"/>
    <numFmt numFmtId="179" formatCode="0.00E+0"/>
    <numFmt numFmtId="180" formatCode="0.000E+0"/>
    <numFmt numFmtId="181" formatCode="0.0E+00"/>
    <numFmt numFmtId="182" formatCode="#,##0.00000"/>
    <numFmt numFmtId="183" formatCode="0.000000000"/>
    <numFmt numFmtId="184" formatCode="0.0000000000"/>
    <numFmt numFmtId="185" formatCode="#,##0.000000000"/>
    <numFmt numFmtId="186" formatCode="#,##0.0000000000"/>
  </numFmts>
  <fonts count="6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8"/>
      <color indexed="8"/>
      <name val="Arial"/>
      <family val="2"/>
    </font>
    <font>
      <sz val="9"/>
      <color indexed="10"/>
      <name val="Arial"/>
      <family val="2"/>
    </font>
    <font>
      <sz val="9"/>
      <color indexed="33"/>
      <name val="Arial"/>
      <family val="2"/>
    </font>
    <font>
      <sz val="9"/>
      <color indexed="8"/>
      <name val="Arial"/>
      <family val="2"/>
    </font>
    <font>
      <vertAlign val="subscript"/>
      <sz val="9"/>
      <color indexed="8"/>
      <name val="Arial"/>
      <family val="2"/>
    </font>
    <font>
      <b/>
      <sz val="8"/>
      <color indexed="8"/>
      <name val="Arial"/>
      <family val="2"/>
    </font>
    <font>
      <sz val="9"/>
      <color indexed="12"/>
      <name val="Arial"/>
      <family val="2"/>
    </font>
    <font>
      <sz val="9"/>
      <name val="Arial"/>
      <family val="2"/>
    </font>
    <font>
      <sz val="9"/>
      <name val="Arial"/>
      <family val="2"/>
    </font>
    <font>
      <sz val="9"/>
      <color indexed="34"/>
      <name val="Arial"/>
      <family val="2"/>
    </font>
    <font>
      <sz val="9"/>
      <name val="Symbol"/>
      <family val="1"/>
      <charset val="2"/>
    </font>
    <font>
      <b/>
      <sz val="9"/>
      <name val="Arial"/>
      <family val="2"/>
    </font>
    <font>
      <sz val="9"/>
      <color indexed="8"/>
      <name val="Arial"/>
      <family val="2"/>
    </font>
    <font>
      <b/>
      <sz val="9"/>
      <color indexed="10"/>
      <name val="Arial"/>
      <family val="2"/>
    </font>
    <font>
      <b/>
      <sz val="9"/>
      <color indexed="8"/>
      <name val="Arial"/>
      <family val="2"/>
    </font>
    <font>
      <b/>
      <sz val="9"/>
      <color indexed="8"/>
      <name val="Arial"/>
      <family val="2"/>
    </font>
    <font>
      <sz val="9"/>
      <color indexed="9"/>
      <name val="Arial"/>
      <family val="2"/>
    </font>
    <font>
      <vertAlign val="subscript"/>
      <sz val="9"/>
      <name val="Arial"/>
      <family val="2"/>
    </font>
    <font>
      <b/>
      <sz val="9"/>
      <name val="Arial"/>
      <family val="2"/>
    </font>
    <font>
      <b/>
      <vertAlign val="subscript"/>
      <sz val="9"/>
      <name val="Arial"/>
      <family val="2"/>
    </font>
    <font>
      <i/>
      <sz val="9"/>
      <color indexed="8"/>
      <name val="Arial"/>
      <family val="2"/>
    </font>
    <font>
      <sz val="8"/>
      <name val="Symbol"/>
      <family val="1"/>
      <charset val="2"/>
    </font>
    <font>
      <vertAlign val="subscript"/>
      <sz val="8"/>
      <name val="Arial"/>
      <family val="2"/>
    </font>
    <font>
      <i/>
      <sz val="8"/>
      <color indexed="8"/>
      <name val="Arial"/>
      <family val="2"/>
    </font>
    <font>
      <b/>
      <vertAlign val="subscript"/>
      <sz val="8"/>
      <color indexed="8"/>
      <name val="Arial"/>
      <family val="2"/>
    </font>
    <font>
      <b/>
      <sz val="8"/>
      <color indexed="8"/>
      <name val="Symbol"/>
      <family val="1"/>
      <charset val="2"/>
    </font>
    <font>
      <vertAlign val="superscript"/>
      <sz val="8"/>
      <name val="Arial"/>
      <family val="2"/>
    </font>
    <font>
      <b/>
      <sz val="9"/>
      <color indexed="9"/>
      <name val="Arial"/>
      <family val="2"/>
    </font>
    <font>
      <b/>
      <sz val="9"/>
      <color indexed="37"/>
      <name val="Arial"/>
      <family val="2"/>
    </font>
    <font>
      <b/>
      <sz val="9"/>
      <color indexed="12"/>
      <name val="Arial"/>
      <family val="2"/>
    </font>
    <font>
      <b/>
      <sz val="9"/>
      <color indexed="10"/>
      <name val="Arial"/>
      <family val="2"/>
    </font>
    <font>
      <vertAlign val="subscript"/>
      <sz val="10"/>
      <name val="Arial"/>
      <family val="2"/>
    </font>
    <font>
      <b/>
      <sz val="10"/>
      <color indexed="10"/>
      <name val="Arial"/>
      <family val="2"/>
    </font>
    <font>
      <b/>
      <sz val="9"/>
      <color indexed="12"/>
      <name val="Arial"/>
      <family val="2"/>
    </font>
    <font>
      <b/>
      <sz val="9"/>
      <color indexed="17"/>
      <name val="Arial"/>
      <family val="2"/>
    </font>
    <font>
      <b/>
      <sz val="9"/>
      <color indexed="17"/>
      <name val="Arial"/>
      <family val="2"/>
    </font>
    <font>
      <b/>
      <sz val="10"/>
      <color indexed="37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vertAlign val="superscript"/>
      <sz val="10"/>
      <name val="Arial"/>
      <family val="2"/>
    </font>
    <font>
      <sz val="10"/>
      <name val="Symbol"/>
      <family val="1"/>
      <charset val="2"/>
    </font>
    <font>
      <b/>
      <sz val="10"/>
      <color indexed="10"/>
      <name val="Arial"/>
      <family val="2"/>
    </font>
    <font>
      <b/>
      <i/>
      <sz val="12"/>
      <name val="Arial"/>
      <family val="2"/>
    </font>
    <font>
      <b/>
      <i/>
      <sz val="12"/>
      <color indexed="37"/>
      <name val="Arial"/>
      <family val="2"/>
    </font>
    <font>
      <b/>
      <i/>
      <sz val="12"/>
      <color indexed="37"/>
      <name val="Arial"/>
      <family val="2"/>
    </font>
    <font>
      <b/>
      <sz val="12"/>
      <name val="Symbol"/>
      <family val="1"/>
      <charset val="2"/>
    </font>
    <font>
      <b/>
      <vertAlign val="subscript"/>
      <sz val="12"/>
      <name val="Arial"/>
      <family val="2"/>
    </font>
    <font>
      <sz val="12"/>
      <color indexed="8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2"/>
      <color indexed="8"/>
      <name val="Arial"/>
      <family val="2"/>
    </font>
    <font>
      <b/>
      <sz val="10"/>
      <color indexed="17"/>
      <name val="Arial"/>
      <family val="2"/>
    </font>
    <font>
      <b/>
      <sz val="9"/>
      <color indexed="16"/>
      <name val="Arial"/>
      <family val="2"/>
    </font>
    <font>
      <sz val="9"/>
      <color indexed="12"/>
      <name val="Arial"/>
      <family val="2"/>
    </font>
    <font>
      <b/>
      <sz val="12"/>
      <name val="Courier New"/>
      <family val="3"/>
    </font>
    <font>
      <sz val="10"/>
      <color theme="4" tint="-0.249977111117893"/>
      <name val="Courier New"/>
      <family val="3"/>
    </font>
    <font>
      <sz val="10"/>
      <color theme="5" tint="-0.249977111117893"/>
      <name val="Courier New"/>
      <family val="3"/>
    </font>
    <font>
      <sz val="10"/>
      <color theme="6" tint="-0.249977111117893"/>
      <name val="Courier New"/>
      <family val="3"/>
    </font>
    <font>
      <sz val="10"/>
      <color theme="7" tint="-0.249977111117893"/>
      <name val="Courier New"/>
      <family val="3"/>
    </font>
    <font>
      <sz val="10"/>
      <color theme="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5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428">
    <xf numFmtId="0" fontId="0" fillId="0" borderId="0" xfId="0"/>
    <xf numFmtId="0" fontId="0" fillId="0" borderId="0" xfId="0" applyAlignment="1">
      <alignment horizontal="center"/>
    </xf>
    <xf numFmtId="0" fontId="5" fillId="2" borderId="1" xfId="0" applyFont="1" applyFill="1" applyBorder="1"/>
    <xf numFmtId="0" fontId="5" fillId="2" borderId="0" xfId="0" applyFont="1" applyFill="1" applyBorder="1"/>
    <xf numFmtId="0" fontId="7" fillId="2" borderId="0" xfId="0" applyFont="1" applyFill="1" applyBorder="1" applyAlignment="1">
      <alignment horizontal="center"/>
    </xf>
    <xf numFmtId="0" fontId="10" fillId="3" borderId="2" xfId="0" applyFont="1" applyFill="1" applyBorder="1"/>
    <xf numFmtId="0" fontId="10" fillId="3" borderId="3" xfId="0" applyFont="1" applyFill="1" applyBorder="1"/>
    <xf numFmtId="0" fontId="10" fillId="3" borderId="3" xfId="0" applyFont="1" applyFill="1" applyBorder="1" applyAlignment="1">
      <alignment horizontal="center"/>
    </xf>
    <xf numFmtId="0" fontId="11" fillId="3" borderId="4" xfId="0" applyFont="1" applyFill="1" applyBorder="1" applyAlignment="1">
      <alignment horizontal="center"/>
    </xf>
    <xf numFmtId="0" fontId="11" fillId="0" borderId="0" xfId="0" applyFont="1"/>
    <xf numFmtId="0" fontId="10" fillId="3" borderId="5" xfId="0" applyFont="1" applyFill="1" applyBorder="1"/>
    <xf numFmtId="0" fontId="12" fillId="3" borderId="6" xfId="0" applyFont="1" applyFill="1" applyBorder="1"/>
    <xf numFmtId="0" fontId="11" fillId="3" borderId="6" xfId="0" applyFont="1" applyFill="1" applyBorder="1"/>
    <xf numFmtId="0" fontId="11" fillId="3" borderId="7" xfId="0" applyFont="1" applyFill="1" applyBorder="1" applyAlignment="1">
      <alignment horizontal="center"/>
    </xf>
    <xf numFmtId="0" fontId="12" fillId="2" borderId="0" xfId="0" applyFont="1" applyFill="1" applyBorder="1"/>
    <xf numFmtId="0" fontId="12" fillId="2" borderId="0" xfId="0" applyFont="1" applyFill="1" applyBorder="1" applyAlignment="1">
      <alignment horizontal="center"/>
    </xf>
    <xf numFmtId="0" fontId="11" fillId="2" borderId="0" xfId="0" applyFont="1" applyFill="1" applyBorder="1"/>
    <xf numFmtId="0" fontId="11" fillId="2" borderId="8" xfId="0" applyFont="1" applyFill="1" applyBorder="1" applyAlignment="1">
      <alignment horizontal="center"/>
    </xf>
    <xf numFmtId="0" fontId="10" fillId="2" borderId="1" xfId="0" applyFont="1" applyFill="1" applyBorder="1"/>
    <xf numFmtId="0" fontId="5" fillId="0" borderId="2" xfId="0" applyFont="1" applyBorder="1"/>
    <xf numFmtId="0" fontId="13" fillId="0" borderId="3" xfId="0" applyFont="1" applyBorder="1"/>
    <xf numFmtId="0" fontId="11" fillId="0" borderId="3" xfId="0" applyFont="1" applyBorder="1"/>
    <xf numFmtId="0" fontId="11" fillId="0" borderId="4" xfId="0" applyFont="1" applyBorder="1"/>
    <xf numFmtId="0" fontId="11" fillId="0" borderId="1" xfId="0" applyFont="1" applyBorder="1"/>
    <xf numFmtId="0" fontId="11" fillId="0" borderId="0" xfId="0" applyFont="1" applyBorder="1"/>
    <xf numFmtId="0" fontId="11" fillId="0" borderId="8" xfId="0" applyFont="1" applyBorder="1" applyAlignment="1">
      <alignment horizontal="center"/>
    </xf>
    <xf numFmtId="0" fontId="11" fillId="0" borderId="0" xfId="0" applyFont="1" applyAlignment="1">
      <alignment horizontal="center"/>
    </xf>
    <xf numFmtId="4" fontId="11" fillId="0" borderId="8" xfId="1" applyNumberFormat="1" applyFont="1" applyBorder="1"/>
    <xf numFmtId="4" fontId="11" fillId="0" borderId="0" xfId="1" applyNumberFormat="1" applyFont="1"/>
    <xf numFmtId="4" fontId="11" fillId="0" borderId="0" xfId="1" applyNumberFormat="1" applyFont="1" applyBorder="1"/>
    <xf numFmtId="0" fontId="11" fillId="0" borderId="6" xfId="0" applyFont="1" applyBorder="1"/>
    <xf numFmtId="4" fontId="11" fillId="0" borderId="7" xfId="1" applyNumberFormat="1" applyFont="1" applyBorder="1"/>
    <xf numFmtId="0" fontId="11" fillId="0" borderId="7" xfId="0" applyFont="1" applyBorder="1" applyAlignment="1">
      <alignment horizontal="center"/>
    </xf>
    <xf numFmtId="0" fontId="11" fillId="0" borderId="2" xfId="0" applyFont="1" applyBorder="1"/>
    <xf numFmtId="4" fontId="10" fillId="0" borderId="3" xfId="0" applyNumberFormat="1" applyFont="1" applyBorder="1" applyAlignment="1">
      <alignment horizontal="center"/>
    </xf>
    <xf numFmtId="39" fontId="10" fillId="0" borderId="3" xfId="0" applyNumberFormat="1" applyFont="1" applyBorder="1" applyAlignment="1">
      <alignment horizontal="center"/>
    </xf>
    <xf numFmtId="0" fontId="5" fillId="0" borderId="1" xfId="0" applyFont="1" applyBorder="1"/>
    <xf numFmtId="4" fontId="11" fillId="0" borderId="0" xfId="0" applyNumberFormat="1" applyFont="1" applyBorder="1" applyAlignment="1">
      <alignment horizontal="center"/>
    </xf>
    <xf numFmtId="4" fontId="11" fillId="0" borderId="8" xfId="0" applyNumberFormat="1" applyFont="1" applyBorder="1" applyAlignment="1">
      <alignment horizontal="center"/>
    </xf>
    <xf numFmtId="11" fontId="14" fillId="0" borderId="0" xfId="0" applyNumberFormat="1" applyFont="1" applyBorder="1" applyAlignment="1">
      <alignment horizontal="center"/>
    </xf>
    <xf numFmtId="0" fontId="14" fillId="0" borderId="0" xfId="0" applyFont="1" applyBorder="1" applyAlignment="1">
      <alignment horizontal="center"/>
    </xf>
    <xf numFmtId="0" fontId="11" fillId="0" borderId="0" xfId="0" applyFont="1" applyBorder="1" applyAlignment="1">
      <alignment horizontal="center"/>
    </xf>
    <xf numFmtId="180" fontId="7" fillId="0" borderId="0" xfId="0" applyNumberFormat="1" applyFont="1" applyBorder="1" applyAlignment="1">
      <alignment horizontal="center"/>
    </xf>
    <xf numFmtId="0" fontId="11" fillId="0" borderId="5" xfId="0" applyFont="1" applyBorder="1"/>
    <xf numFmtId="0" fontId="11" fillId="0" borderId="6" xfId="0" applyFont="1" applyBorder="1" applyAlignment="1">
      <alignment horizontal="right"/>
    </xf>
    <xf numFmtId="11" fontId="6" fillId="0" borderId="6" xfId="0" applyNumberFormat="1" applyFont="1" applyBorder="1"/>
    <xf numFmtId="4" fontId="11" fillId="0" borderId="6" xfId="0" applyNumberFormat="1" applyFont="1" applyBorder="1" applyAlignment="1">
      <alignment horizontal="center"/>
    </xf>
    <xf numFmtId="4" fontId="11" fillId="0" borderId="7" xfId="0" applyNumberFormat="1" applyFont="1" applyBorder="1" applyAlignment="1">
      <alignment horizontal="center"/>
    </xf>
    <xf numFmtId="0" fontId="11" fillId="0" borderId="3" xfId="0" applyFont="1" applyBorder="1" applyAlignment="1">
      <alignment horizontal="right"/>
    </xf>
    <xf numFmtId="11" fontId="6" fillId="0" borderId="3" xfId="0" applyNumberFormat="1" applyFont="1" applyBorder="1"/>
    <xf numFmtId="4" fontId="11" fillId="0" borderId="3" xfId="0" applyNumberFormat="1" applyFont="1" applyBorder="1" applyAlignment="1">
      <alignment horizontal="center"/>
    </xf>
    <xf numFmtId="4" fontId="11" fillId="0" borderId="2" xfId="0" applyNumberFormat="1" applyFont="1" applyBorder="1" applyAlignment="1">
      <alignment horizontal="center"/>
    </xf>
    <xf numFmtId="4" fontId="11" fillId="0" borderId="4" xfId="0" applyNumberFormat="1" applyFont="1" applyBorder="1" applyAlignment="1">
      <alignment horizontal="center"/>
    </xf>
    <xf numFmtId="164" fontId="5" fillId="0" borderId="1" xfId="1" applyFont="1" applyBorder="1"/>
    <xf numFmtId="164" fontId="11" fillId="0" borderId="1" xfId="1" applyFont="1" applyBorder="1"/>
    <xf numFmtId="2" fontId="11" fillId="0" borderId="0" xfId="0" applyNumberFormat="1" applyFont="1" applyBorder="1" applyAlignment="1">
      <alignment horizontal="center"/>
    </xf>
    <xf numFmtId="0" fontId="7" fillId="0" borderId="1" xfId="0" applyFont="1" applyBorder="1" applyAlignment="1">
      <alignment horizontal="right"/>
    </xf>
    <xf numFmtId="167" fontId="7" fillId="0" borderId="0" xfId="1" applyNumberFormat="1" applyFont="1" applyBorder="1" applyAlignment="1">
      <alignment horizontal="center"/>
    </xf>
    <xf numFmtId="2" fontId="7" fillId="0" borderId="0" xfId="0" applyNumberFormat="1" applyFont="1" applyBorder="1" applyAlignment="1">
      <alignment horizontal="center"/>
    </xf>
    <xf numFmtId="2" fontId="7" fillId="0" borderId="8" xfId="0" applyNumberFormat="1" applyFont="1" applyBorder="1" applyAlignment="1">
      <alignment horizontal="center"/>
    </xf>
    <xf numFmtId="2" fontId="5" fillId="0" borderId="0" xfId="0" applyNumberFormat="1" applyFont="1" applyAlignment="1">
      <alignment horizontal="center"/>
    </xf>
    <xf numFmtId="170" fontId="11" fillId="0" borderId="1" xfId="1" applyNumberFormat="1" applyFont="1" applyBorder="1"/>
    <xf numFmtId="170" fontId="11" fillId="0" borderId="0" xfId="1" applyNumberFormat="1" applyFont="1" applyBorder="1"/>
    <xf numFmtId="2" fontId="11" fillId="0" borderId="0" xfId="1" applyNumberFormat="1" applyFont="1" applyBorder="1" applyAlignment="1">
      <alignment horizontal="center"/>
    </xf>
    <xf numFmtId="175" fontId="7" fillId="0" borderId="0" xfId="0" applyNumberFormat="1" applyFont="1" applyBorder="1" applyAlignment="1">
      <alignment horizontal="center"/>
    </xf>
    <xf numFmtId="164" fontId="11" fillId="0" borderId="0" xfId="1" applyFont="1" applyBorder="1"/>
    <xf numFmtId="164" fontId="7" fillId="0" borderId="1" xfId="1" applyFont="1" applyBorder="1" applyAlignment="1">
      <alignment horizontal="right"/>
    </xf>
    <xf numFmtId="168" fontId="7" fillId="0" borderId="0" xfId="0" applyNumberFormat="1" applyFont="1" applyBorder="1" applyAlignment="1">
      <alignment horizontal="center"/>
    </xf>
    <xf numFmtId="0" fontId="7" fillId="0" borderId="0" xfId="0" applyFont="1" applyBorder="1"/>
    <xf numFmtId="0" fontId="7" fillId="0" borderId="0" xfId="0" applyFont="1" applyBorder="1" applyAlignment="1">
      <alignment horizontal="center"/>
    </xf>
    <xf numFmtId="166" fontId="11" fillId="0" borderId="0" xfId="0" applyNumberFormat="1" applyFont="1" applyBorder="1" applyAlignment="1">
      <alignment horizontal="center"/>
    </xf>
    <xf numFmtId="0" fontId="7" fillId="0" borderId="1" xfId="0" applyFont="1" applyBorder="1"/>
    <xf numFmtId="166" fontId="11" fillId="0" borderId="8" xfId="0" applyNumberFormat="1" applyFont="1" applyBorder="1" applyAlignment="1">
      <alignment horizontal="center"/>
    </xf>
    <xf numFmtId="0" fontId="11" fillId="0" borderId="0" xfId="0" applyFont="1" applyBorder="1" applyAlignment="1">
      <alignment horizontal="right"/>
    </xf>
    <xf numFmtId="166" fontId="7" fillId="0" borderId="0" xfId="0" applyNumberFormat="1" applyFont="1" applyBorder="1" applyAlignment="1">
      <alignment horizontal="center"/>
    </xf>
    <xf numFmtId="167" fontId="11" fillId="0" borderId="0" xfId="1" applyNumberFormat="1" applyFont="1" applyBorder="1" applyAlignment="1">
      <alignment horizontal="center"/>
    </xf>
    <xf numFmtId="0" fontId="11" fillId="0" borderId="6" xfId="0" applyFont="1" applyBorder="1" applyAlignment="1">
      <alignment horizontal="center"/>
    </xf>
    <xf numFmtId="0" fontId="11" fillId="3" borderId="3" xfId="0" applyFont="1" applyFill="1" applyBorder="1"/>
    <xf numFmtId="0" fontId="15" fillId="3" borderId="6" xfId="0" applyFont="1" applyFill="1" applyBorder="1" applyAlignment="1">
      <alignment horizontal="center"/>
    </xf>
    <xf numFmtId="3" fontId="11" fillId="0" borderId="0" xfId="1" applyNumberFormat="1" applyFont="1" applyBorder="1" applyAlignment="1">
      <alignment horizontal="center"/>
    </xf>
    <xf numFmtId="0" fontId="16" fillId="0" borderId="2" xfId="0" applyFont="1" applyBorder="1"/>
    <xf numFmtId="0" fontId="16" fillId="0" borderId="3" xfId="0" applyFont="1" applyBorder="1" applyAlignment="1">
      <alignment horizontal="center"/>
    </xf>
    <xf numFmtId="0" fontId="16" fillId="2" borderId="2" xfId="0" applyFont="1" applyFill="1" applyBorder="1" applyAlignment="1">
      <alignment horizontal="center"/>
    </xf>
    <xf numFmtId="0" fontId="16" fillId="2" borderId="4" xfId="0" applyFont="1" applyFill="1" applyBorder="1" applyAlignment="1">
      <alignment horizontal="center"/>
    </xf>
    <xf numFmtId="0" fontId="16" fillId="2" borderId="3" xfId="0" applyFont="1" applyFill="1" applyBorder="1" applyAlignment="1">
      <alignment horizontal="center"/>
    </xf>
    <xf numFmtId="0" fontId="16" fillId="0" borderId="4" xfId="0" applyFont="1" applyBorder="1" applyAlignment="1">
      <alignment horizontal="center"/>
    </xf>
    <xf numFmtId="0" fontId="16" fillId="0" borderId="0" xfId="0" applyFont="1"/>
    <xf numFmtId="0" fontId="16" fillId="2" borderId="0" xfId="0" applyFont="1" applyFill="1" applyBorder="1" applyAlignment="1">
      <alignment horizontal="center"/>
    </xf>
    <xf numFmtId="0" fontId="16" fillId="0" borderId="0" xfId="0" applyFont="1" applyBorder="1" applyAlignment="1">
      <alignment horizontal="center"/>
    </xf>
    <xf numFmtId="0" fontId="16" fillId="2" borderId="0" xfId="0" applyFont="1" applyFill="1"/>
    <xf numFmtId="0" fontId="11" fillId="2" borderId="0" xfId="0" applyFont="1" applyFill="1"/>
    <xf numFmtId="11" fontId="7" fillId="2" borderId="0" xfId="1" applyNumberFormat="1" applyFont="1" applyFill="1" applyBorder="1" applyAlignment="1">
      <alignment horizontal="center"/>
    </xf>
    <xf numFmtId="170" fontId="7" fillId="2" borderId="0" xfId="1" applyNumberFormat="1" applyFont="1" applyFill="1" applyBorder="1"/>
    <xf numFmtId="0" fontId="16" fillId="2" borderId="5" xfId="0" applyFont="1" applyFill="1" applyBorder="1" applyAlignment="1">
      <alignment horizontal="center"/>
    </xf>
    <xf numFmtId="11" fontId="7" fillId="2" borderId="6" xfId="1" applyNumberFormat="1" applyFont="1" applyFill="1" applyBorder="1" applyAlignment="1">
      <alignment horizontal="center"/>
    </xf>
    <xf numFmtId="169" fontId="7" fillId="2" borderId="7" xfId="1" applyNumberFormat="1" applyFont="1" applyFill="1" applyBorder="1"/>
    <xf numFmtId="0" fontId="16" fillId="2" borderId="6" xfId="0" applyFont="1" applyFill="1" applyBorder="1" applyAlignment="1">
      <alignment horizontal="center"/>
    </xf>
    <xf numFmtId="170" fontId="7" fillId="2" borderId="6" xfId="1" applyNumberFormat="1" applyFont="1" applyFill="1" applyBorder="1"/>
    <xf numFmtId="171" fontId="7" fillId="2" borderId="7" xfId="1" applyNumberFormat="1" applyFont="1" applyFill="1" applyBorder="1"/>
    <xf numFmtId="11" fontId="16" fillId="2" borderId="6" xfId="1" applyNumberFormat="1" applyFont="1" applyFill="1" applyBorder="1"/>
    <xf numFmtId="11" fontId="16" fillId="2" borderId="6" xfId="1" applyNumberFormat="1" applyFont="1" applyFill="1" applyBorder="1" applyAlignment="1">
      <alignment horizontal="center"/>
    </xf>
    <xf numFmtId="11" fontId="16" fillId="2" borderId="5" xfId="1" applyNumberFormat="1" applyFont="1" applyFill="1" applyBorder="1"/>
    <xf numFmtId="0" fontId="16" fillId="2" borderId="7" xfId="0" applyFont="1" applyFill="1" applyBorder="1" applyAlignment="1">
      <alignment horizontal="center"/>
    </xf>
    <xf numFmtId="0" fontId="17" fillId="2" borderId="2" xfId="0" applyFont="1" applyFill="1" applyBorder="1"/>
    <xf numFmtId="178" fontId="7" fillId="2" borderId="4" xfId="1" applyNumberFormat="1" applyFont="1" applyFill="1" applyBorder="1"/>
    <xf numFmtId="11" fontId="16" fillId="0" borderId="0" xfId="1" applyNumberFormat="1" applyFont="1"/>
    <xf numFmtId="178" fontId="7" fillId="2" borderId="0" xfId="1" applyNumberFormat="1" applyFont="1" applyFill="1" applyBorder="1"/>
    <xf numFmtId="0" fontId="11" fillId="0" borderId="8" xfId="0" applyFont="1" applyBorder="1"/>
    <xf numFmtId="11" fontId="18" fillId="2" borderId="0" xfId="0" applyNumberFormat="1" applyFont="1" applyFill="1" applyBorder="1" applyAlignment="1">
      <alignment horizontal="center"/>
    </xf>
    <xf numFmtId="179" fontId="18" fillId="2" borderId="8" xfId="1" applyNumberFormat="1" applyFont="1" applyFill="1" applyBorder="1" applyAlignment="1">
      <alignment horizontal="center"/>
    </xf>
    <xf numFmtId="11" fontId="7" fillId="2" borderId="0" xfId="0" applyNumberFormat="1" applyFont="1" applyFill="1" applyBorder="1" applyAlignment="1">
      <alignment horizontal="center"/>
    </xf>
    <xf numFmtId="11" fontId="7" fillId="2" borderId="8" xfId="1" applyNumberFormat="1" applyFont="1" applyFill="1" applyBorder="1"/>
    <xf numFmtId="0" fontId="5" fillId="2" borderId="2" xfId="0" applyFont="1" applyFill="1" applyBorder="1" applyAlignment="1">
      <alignment horizontal="center"/>
    </xf>
    <xf numFmtId="0" fontId="19" fillId="0" borderId="3" xfId="0" applyFont="1" applyBorder="1" applyAlignment="1">
      <alignment horizontal="center"/>
    </xf>
    <xf numFmtId="11" fontId="7" fillId="2" borderId="4" xfId="1" applyNumberFormat="1" applyFont="1" applyFill="1" applyBorder="1" applyAlignment="1">
      <alignment horizontal="center"/>
    </xf>
    <xf numFmtId="0" fontId="5" fillId="2" borderId="9" xfId="0" applyFont="1" applyFill="1" applyBorder="1" applyAlignment="1">
      <alignment horizontal="center"/>
    </xf>
    <xf numFmtId="11" fontId="19" fillId="2" borderId="10" xfId="0" applyNumberFormat="1" applyFont="1" applyFill="1" applyBorder="1" applyAlignment="1">
      <alignment horizontal="center"/>
    </xf>
    <xf numFmtId="11" fontId="7" fillId="2" borderId="11" xfId="1" applyNumberFormat="1" applyFont="1" applyFill="1" applyBorder="1" applyAlignment="1">
      <alignment horizontal="center"/>
    </xf>
    <xf numFmtId="0" fontId="5" fillId="2" borderId="5" xfId="0" applyFont="1" applyFill="1" applyBorder="1" applyAlignment="1">
      <alignment horizontal="center"/>
    </xf>
    <xf numFmtId="11" fontId="7" fillId="2" borderId="7" xfId="1" applyNumberFormat="1" applyFont="1" applyFill="1" applyBorder="1" applyAlignment="1">
      <alignment horizontal="center"/>
    </xf>
    <xf numFmtId="0" fontId="16" fillId="0" borderId="3" xfId="0" applyFont="1" applyBorder="1"/>
    <xf numFmtId="170" fontId="16" fillId="0" borderId="0" xfId="1" applyNumberFormat="1" applyFont="1" applyAlignment="1">
      <alignment horizontal="center"/>
    </xf>
    <xf numFmtId="0" fontId="20" fillId="0" borderId="1" xfId="0" applyFont="1" applyBorder="1"/>
    <xf numFmtId="0" fontId="16" fillId="0" borderId="0" xfId="0" applyFont="1" applyBorder="1"/>
    <xf numFmtId="0" fontId="5" fillId="2" borderId="5" xfId="0" applyFont="1" applyFill="1" applyBorder="1"/>
    <xf numFmtId="0" fontId="11" fillId="0" borderId="7" xfId="0" applyFont="1" applyBorder="1"/>
    <xf numFmtId="0" fontId="12" fillId="0" borderId="9" xfId="0" applyFont="1" applyBorder="1"/>
    <xf numFmtId="0" fontId="22" fillId="0" borderId="10" xfId="0" applyFont="1" applyBorder="1"/>
    <xf numFmtId="0" fontId="22" fillId="0" borderId="11" xfId="0" applyFont="1" applyBorder="1"/>
    <xf numFmtId="0" fontId="5" fillId="4" borderId="9" xfId="0" applyFont="1" applyFill="1" applyBorder="1" applyAlignment="1">
      <alignment horizontal="center"/>
    </xf>
    <xf numFmtId="0" fontId="19" fillId="4" borderId="10" xfId="0" applyFont="1" applyFill="1" applyBorder="1" applyAlignment="1">
      <alignment horizontal="center"/>
    </xf>
    <xf numFmtId="11" fontId="7" fillId="4" borderId="11" xfId="1" applyNumberFormat="1" applyFont="1" applyFill="1" applyBorder="1" applyAlignment="1">
      <alignment horizontal="center"/>
    </xf>
    <xf numFmtId="169" fontId="7" fillId="0" borderId="0" xfId="1" applyNumberFormat="1" applyFont="1" applyAlignment="1">
      <alignment horizontal="center"/>
    </xf>
    <xf numFmtId="0" fontId="7" fillId="0" borderId="0" xfId="0" applyFont="1"/>
    <xf numFmtId="0" fontId="12" fillId="0" borderId="0" xfId="0" applyFont="1"/>
    <xf numFmtId="170" fontId="16" fillId="0" borderId="0" xfId="1" applyNumberFormat="1" applyFont="1" applyBorder="1" applyAlignment="1">
      <alignment horizontal="center"/>
    </xf>
    <xf numFmtId="170" fontId="16" fillId="0" borderId="8" xfId="1" applyNumberFormat="1" applyFont="1" applyBorder="1" applyAlignment="1">
      <alignment horizontal="center"/>
    </xf>
    <xf numFmtId="170" fontId="16" fillId="0" borderId="0" xfId="1" applyNumberFormat="1" applyFont="1" applyBorder="1" applyAlignment="1"/>
    <xf numFmtId="170" fontId="16" fillId="0" borderId="0" xfId="1" applyNumberFormat="1" applyFont="1" applyAlignment="1"/>
    <xf numFmtId="164" fontId="16" fillId="0" borderId="0" xfId="1" applyFont="1" applyAlignment="1">
      <alignment horizontal="center"/>
    </xf>
    <xf numFmtId="177" fontId="16" fillId="0" borderId="0" xfId="1" applyNumberFormat="1" applyFont="1" applyAlignment="1">
      <alignment horizontal="right"/>
    </xf>
    <xf numFmtId="2" fontId="16" fillId="0" borderId="0" xfId="1" applyNumberFormat="1" applyFont="1" applyBorder="1" applyAlignment="1">
      <alignment horizontal="right"/>
    </xf>
    <xf numFmtId="2" fontId="16" fillId="0" borderId="0" xfId="1" applyNumberFormat="1" applyFont="1" applyAlignment="1">
      <alignment horizontal="right"/>
    </xf>
    <xf numFmtId="0" fontId="16" fillId="2" borderId="0" xfId="0" applyFont="1" applyFill="1" applyBorder="1"/>
    <xf numFmtId="2" fontId="7" fillId="2" borderId="0" xfId="1" applyNumberFormat="1" applyFont="1" applyFill="1" applyBorder="1" applyAlignment="1">
      <alignment horizontal="right"/>
    </xf>
    <xf numFmtId="2" fontId="16" fillId="2" borderId="0" xfId="1" applyNumberFormat="1" applyFont="1" applyFill="1" applyBorder="1" applyAlignment="1">
      <alignment horizontal="right"/>
    </xf>
    <xf numFmtId="2" fontId="16" fillId="2" borderId="0" xfId="1" applyNumberFormat="1" applyFont="1" applyFill="1" applyBorder="1" applyAlignment="1">
      <alignment horizontal="center"/>
    </xf>
    <xf numFmtId="178" fontId="7" fillId="2" borderId="0" xfId="1" applyNumberFormat="1" applyFont="1" applyFill="1" applyBorder="1" applyAlignment="1">
      <alignment horizontal="center"/>
    </xf>
    <xf numFmtId="11" fontId="7" fillId="2" borderId="0" xfId="1" applyNumberFormat="1" applyFont="1" applyFill="1" applyBorder="1"/>
    <xf numFmtId="11" fontId="7" fillId="2" borderId="0" xfId="0" applyNumberFormat="1" applyFont="1" applyFill="1"/>
    <xf numFmtId="11" fontId="12" fillId="2" borderId="0" xfId="0" applyNumberFormat="1" applyFont="1" applyFill="1"/>
    <xf numFmtId="11" fontId="16" fillId="2" borderId="0" xfId="0" applyNumberFormat="1" applyFont="1" applyFill="1"/>
    <xf numFmtId="11" fontId="11" fillId="2" borderId="0" xfId="0" applyNumberFormat="1" applyFont="1" applyFill="1"/>
    <xf numFmtId="171" fontId="7" fillId="2" borderId="0" xfId="1" applyNumberFormat="1" applyFont="1" applyFill="1" applyBorder="1"/>
    <xf numFmtId="171" fontId="7" fillId="2" borderId="0" xfId="1" applyNumberFormat="1" applyFont="1" applyFill="1" applyBorder="1" applyAlignment="1">
      <alignment horizontal="center"/>
    </xf>
    <xf numFmtId="170" fontId="7" fillId="2" borderId="0" xfId="1" applyNumberFormat="1" applyFont="1" applyFill="1" applyBorder="1" applyAlignment="1">
      <alignment horizontal="center"/>
    </xf>
    <xf numFmtId="169" fontId="7" fillId="2" borderId="0" xfId="1" applyNumberFormat="1" applyFont="1" applyFill="1" applyBorder="1"/>
    <xf numFmtId="169" fontId="7" fillId="2" borderId="0" xfId="1" applyNumberFormat="1" applyFont="1" applyFill="1" applyBorder="1" applyAlignment="1">
      <alignment horizontal="center"/>
    </xf>
    <xf numFmtId="169" fontId="16" fillId="2" borderId="0" xfId="1" applyNumberFormat="1" applyFont="1" applyFill="1" applyBorder="1"/>
    <xf numFmtId="164" fontId="7" fillId="2" borderId="0" xfId="1" applyFont="1" applyFill="1" applyBorder="1"/>
    <xf numFmtId="164" fontId="11" fillId="2" borderId="0" xfId="1" applyFont="1" applyFill="1" applyBorder="1"/>
    <xf numFmtId="164" fontId="11" fillId="2" borderId="0" xfId="1" applyFont="1" applyFill="1" applyBorder="1" applyAlignment="1">
      <alignment horizontal="center"/>
    </xf>
    <xf numFmtId="164" fontId="16" fillId="2" borderId="0" xfId="1" applyFont="1" applyFill="1" applyBorder="1"/>
    <xf numFmtId="170" fontId="16" fillId="2" borderId="0" xfId="1" applyNumberFormat="1" applyFont="1" applyFill="1" applyBorder="1"/>
    <xf numFmtId="170" fontId="11" fillId="2" borderId="0" xfId="1" applyNumberFormat="1" applyFont="1" applyFill="1"/>
    <xf numFmtId="164" fontId="11" fillId="2" borderId="0" xfId="1" applyFont="1" applyFill="1"/>
    <xf numFmtId="2" fontId="7" fillId="2" borderId="0" xfId="0" applyNumberFormat="1" applyFont="1" applyFill="1"/>
    <xf numFmtId="2" fontId="11" fillId="2" borderId="0" xfId="0" applyNumberFormat="1" applyFont="1" applyFill="1"/>
    <xf numFmtId="12" fontId="7" fillId="2" borderId="0" xfId="0" applyNumberFormat="1" applyFont="1" applyFill="1"/>
    <xf numFmtId="12" fontId="11" fillId="2" borderId="0" xfId="0" applyNumberFormat="1" applyFont="1" applyFill="1"/>
    <xf numFmtId="0" fontId="3" fillId="0" borderId="0" xfId="0" applyFont="1" applyBorder="1"/>
    <xf numFmtId="4" fontId="7" fillId="2" borderId="0" xfId="1" applyNumberFormat="1" applyFont="1" applyFill="1" applyBorder="1" applyAlignment="1">
      <alignment horizontal="center"/>
    </xf>
    <xf numFmtId="4" fontId="27" fillId="2" borderId="8" xfId="1" applyNumberFormat="1" applyFont="1" applyFill="1" applyBorder="1" applyAlignment="1">
      <alignment horizontal="center"/>
    </xf>
    <xf numFmtId="4" fontId="27" fillId="2" borderId="0" xfId="1" applyNumberFormat="1" applyFont="1" applyFill="1" applyBorder="1" applyAlignment="1">
      <alignment horizontal="center"/>
    </xf>
    <xf numFmtId="182" fontId="7" fillId="2" borderId="0" xfId="1" applyNumberFormat="1" applyFont="1" applyFill="1" applyBorder="1" applyAlignment="1">
      <alignment horizontal="center"/>
    </xf>
    <xf numFmtId="182" fontId="27" fillId="2" borderId="8" xfId="1" applyNumberFormat="1" applyFont="1" applyFill="1" applyBorder="1" applyAlignment="1">
      <alignment horizontal="center"/>
    </xf>
    <xf numFmtId="0" fontId="9" fillId="0" borderId="1" xfId="0" applyFont="1" applyBorder="1"/>
    <xf numFmtId="0" fontId="9" fillId="2" borderId="1" xfId="0" applyFont="1" applyFill="1" applyBorder="1" applyAlignment="1">
      <alignment horizontal="center"/>
    </xf>
    <xf numFmtId="0" fontId="9" fillId="2" borderId="0" xfId="0" applyFont="1" applyFill="1" applyBorder="1" applyAlignment="1">
      <alignment horizontal="center"/>
    </xf>
    <xf numFmtId="0" fontId="9" fillId="0" borderId="0" xfId="0" applyFont="1" applyBorder="1" applyAlignment="1">
      <alignment horizontal="center"/>
    </xf>
    <xf numFmtId="4" fontId="9" fillId="0" borderId="1" xfId="0" applyNumberFormat="1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174" fontId="16" fillId="0" borderId="0" xfId="0" applyNumberFormat="1" applyFont="1" applyBorder="1" applyAlignment="1">
      <alignment horizontal="center"/>
    </xf>
    <xf numFmtId="49" fontId="29" fillId="0" borderId="1" xfId="0" applyNumberFormat="1" applyFont="1" applyBorder="1" applyAlignment="1">
      <alignment horizontal="center"/>
    </xf>
    <xf numFmtId="167" fontId="27" fillId="2" borderId="0" xfId="1" applyNumberFormat="1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175" fontId="27" fillId="2" borderId="8" xfId="0" applyNumberFormat="1" applyFont="1" applyFill="1" applyBorder="1" applyAlignment="1">
      <alignment horizontal="center"/>
    </xf>
    <xf numFmtId="4" fontId="16" fillId="0" borderId="0" xfId="0" applyNumberFormat="1" applyFont="1" applyBorder="1"/>
    <xf numFmtId="0" fontId="12" fillId="0" borderId="6" xfId="0" applyFont="1" applyBorder="1"/>
    <xf numFmtId="0" fontId="31" fillId="5" borderId="1" xfId="0" applyFont="1" applyFill="1" applyBorder="1"/>
    <xf numFmtId="0" fontId="20" fillId="5" borderId="0" xfId="0" applyFont="1" applyFill="1" applyBorder="1"/>
    <xf numFmtId="0" fontId="11" fillId="5" borderId="0" xfId="0" applyFont="1" applyFill="1"/>
    <xf numFmtId="0" fontId="16" fillId="5" borderId="0" xfId="0" applyFont="1" applyFill="1" applyBorder="1"/>
    <xf numFmtId="175" fontId="7" fillId="0" borderId="0" xfId="0" applyNumberFormat="1" applyFont="1" applyFill="1" applyBorder="1" applyAlignment="1">
      <alignment horizontal="center"/>
    </xf>
    <xf numFmtId="2" fontId="16" fillId="0" borderId="0" xfId="1" applyNumberFormat="1" applyFont="1" applyBorder="1" applyAlignment="1">
      <alignment horizontal="center"/>
    </xf>
    <xf numFmtId="11" fontId="16" fillId="2" borderId="0" xfId="0" applyNumberFormat="1" applyFont="1" applyFill="1" applyBorder="1" applyAlignment="1">
      <alignment horizontal="center"/>
    </xf>
    <xf numFmtId="0" fontId="11" fillId="2" borderId="0" xfId="0" applyFont="1" applyFill="1" applyBorder="1" applyAlignment="1">
      <alignment horizontal="center"/>
    </xf>
    <xf numFmtId="49" fontId="7" fillId="2" borderId="0" xfId="0" applyNumberFormat="1" applyFont="1" applyFill="1" applyBorder="1" applyAlignment="1">
      <alignment horizontal="center"/>
    </xf>
    <xf numFmtId="170" fontId="11" fillId="2" borderId="0" xfId="1" applyNumberFormat="1" applyFont="1" applyFill="1" applyBorder="1" applyAlignment="1">
      <alignment horizontal="center"/>
    </xf>
    <xf numFmtId="49" fontId="24" fillId="2" borderId="0" xfId="0" applyNumberFormat="1" applyFont="1" applyFill="1" applyBorder="1" applyAlignment="1">
      <alignment horizontal="center"/>
    </xf>
    <xf numFmtId="11" fontId="11" fillId="2" borderId="0" xfId="0" applyNumberFormat="1" applyFont="1" applyFill="1" applyBorder="1" applyAlignment="1">
      <alignment horizontal="center"/>
    </xf>
    <xf numFmtId="2" fontId="11" fillId="2" borderId="0" xfId="0" applyNumberFormat="1" applyFont="1" applyFill="1" applyBorder="1" applyAlignment="1">
      <alignment horizontal="center"/>
    </xf>
    <xf numFmtId="2" fontId="7" fillId="2" borderId="0" xfId="0" applyNumberFormat="1" applyFont="1" applyFill="1" applyBorder="1"/>
    <xf numFmtId="172" fontId="0" fillId="0" borderId="0" xfId="0" applyNumberFormat="1" applyAlignment="1">
      <alignment horizontal="center"/>
    </xf>
    <xf numFmtId="184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177" fontId="0" fillId="0" borderId="0" xfId="0" applyNumberFormat="1" applyAlignment="1">
      <alignment horizontal="center"/>
    </xf>
    <xf numFmtId="175" fontId="0" fillId="0" borderId="0" xfId="0" applyNumberFormat="1" applyAlignment="1">
      <alignment horizontal="center"/>
    </xf>
    <xf numFmtId="174" fontId="0" fillId="0" borderId="0" xfId="0" applyNumberFormat="1" applyAlignment="1">
      <alignment horizontal="center"/>
    </xf>
    <xf numFmtId="173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85" fontId="0" fillId="0" borderId="0" xfId="0" applyNumberFormat="1" applyAlignment="1">
      <alignment horizontal="center"/>
    </xf>
    <xf numFmtId="183" fontId="3" fillId="0" borderId="0" xfId="0" applyNumberFormat="1" applyFont="1" applyAlignment="1">
      <alignment horizontal="center"/>
    </xf>
    <xf numFmtId="172" fontId="1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0" fillId="0" borderId="1" xfId="0" applyBorder="1"/>
    <xf numFmtId="0" fontId="0" fillId="0" borderId="0" xfId="0" applyBorder="1"/>
    <xf numFmtId="0" fontId="0" fillId="0" borderId="8" xfId="0" applyBorder="1"/>
    <xf numFmtId="2" fontId="33" fillId="0" borderId="0" xfId="1" applyNumberFormat="1" applyFont="1" applyBorder="1" applyAlignment="1">
      <alignment horizontal="center"/>
    </xf>
    <xf numFmtId="2" fontId="33" fillId="0" borderId="0" xfId="0" applyNumberFormat="1" applyFont="1" applyBorder="1" applyAlignment="1">
      <alignment horizontal="center"/>
    </xf>
    <xf numFmtId="166" fontId="33" fillId="0" borderId="0" xfId="0" applyNumberFormat="1" applyFont="1" applyBorder="1" applyAlignment="1">
      <alignment horizontal="center"/>
    </xf>
    <xf numFmtId="4" fontId="34" fillId="2" borderId="10" xfId="1" applyNumberFormat="1" applyFont="1" applyFill="1" applyBorder="1" applyAlignment="1">
      <alignment horizontal="center"/>
    </xf>
    <xf numFmtId="4" fontId="34" fillId="2" borderId="3" xfId="1" applyNumberFormat="1" applyFont="1" applyFill="1" applyBorder="1" applyAlignment="1">
      <alignment horizontal="center"/>
    </xf>
    <xf numFmtId="4" fontId="34" fillId="0" borderId="10" xfId="1" applyNumberFormat="1" applyFont="1" applyBorder="1" applyAlignment="1">
      <alignment horizontal="center"/>
    </xf>
    <xf numFmtId="0" fontId="19" fillId="2" borderId="6" xfId="0" applyFont="1" applyFill="1" applyBorder="1" applyAlignment="1">
      <alignment horizontal="center"/>
    </xf>
    <xf numFmtId="4" fontId="34" fillId="2" borderId="6" xfId="1" applyNumberFormat="1" applyFont="1" applyFill="1" applyBorder="1" applyAlignment="1">
      <alignment horizontal="center"/>
    </xf>
    <xf numFmtId="176" fontId="0" fillId="0" borderId="0" xfId="0" applyNumberFormat="1" applyAlignment="1">
      <alignment horizontal="center"/>
    </xf>
    <xf numFmtId="177" fontId="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center"/>
    </xf>
    <xf numFmtId="175" fontId="1" fillId="0" borderId="0" xfId="0" applyNumberFormat="1" applyFont="1" applyAlignment="1">
      <alignment horizontal="center"/>
    </xf>
    <xf numFmtId="186" fontId="0" fillId="0" borderId="0" xfId="0" applyNumberFormat="1" applyAlignment="1">
      <alignment horizontal="center"/>
    </xf>
    <xf numFmtId="174" fontId="1" fillId="0" borderId="0" xfId="0" applyNumberFormat="1" applyFont="1" applyAlignment="1">
      <alignment horizontal="center"/>
    </xf>
    <xf numFmtId="174" fontId="36" fillId="0" borderId="0" xfId="0" applyNumberFormat="1" applyFont="1" applyAlignment="1">
      <alignment horizontal="center"/>
    </xf>
    <xf numFmtId="1" fontId="1" fillId="0" borderId="0" xfId="0" applyNumberFormat="1" applyFont="1" applyAlignment="1">
      <alignment horizontal="center"/>
    </xf>
    <xf numFmtId="0" fontId="11" fillId="0" borderId="12" xfId="0" applyFont="1" applyBorder="1" applyAlignment="1">
      <alignment horizontal="center"/>
    </xf>
    <xf numFmtId="0" fontId="0" fillId="0" borderId="13" xfId="0" applyBorder="1"/>
    <xf numFmtId="4" fontId="17" fillId="0" borderId="13" xfId="1" applyNumberFormat="1" applyFont="1" applyBorder="1" applyAlignment="1">
      <alignment horizontal="center"/>
    </xf>
    <xf numFmtId="0" fontId="0" fillId="0" borderId="5" xfId="0" applyBorder="1"/>
    <xf numFmtId="0" fontId="0" fillId="0" borderId="6" xfId="0" applyBorder="1"/>
    <xf numFmtId="0" fontId="32" fillId="3" borderId="6" xfId="0" applyFont="1" applyFill="1" applyBorder="1" applyAlignment="1">
      <alignment horizontal="left"/>
    </xf>
    <xf numFmtId="165" fontId="34" fillId="2" borderId="13" xfId="0" applyNumberFormat="1" applyFont="1" applyFill="1" applyBorder="1" applyAlignment="1">
      <alignment horizontal="center"/>
    </xf>
    <xf numFmtId="168" fontId="36" fillId="0" borderId="0" xfId="0" applyNumberFormat="1" applyFont="1" applyAlignment="1">
      <alignment horizontal="center"/>
    </xf>
    <xf numFmtId="167" fontId="17" fillId="0" borderId="13" xfId="0" applyNumberFormat="1" applyFont="1" applyBorder="1" applyAlignment="1">
      <alignment horizontal="center"/>
    </xf>
    <xf numFmtId="4" fontId="11" fillId="0" borderId="6" xfId="1" applyNumberFormat="1" applyFont="1" applyBorder="1"/>
    <xf numFmtId="0" fontId="38" fillId="0" borderId="1" xfId="0" applyFont="1" applyBorder="1"/>
    <xf numFmtId="4" fontId="15" fillId="0" borderId="0" xfId="1" applyNumberFormat="1" applyFont="1" applyBorder="1"/>
    <xf numFmtId="0" fontId="10" fillId="0" borderId="0" xfId="0" applyFont="1"/>
    <xf numFmtId="0" fontId="7" fillId="2" borderId="0" xfId="0" applyFont="1" applyFill="1" applyBorder="1"/>
    <xf numFmtId="0" fontId="0" fillId="4" borderId="9" xfId="0" applyFill="1" applyBorder="1"/>
    <xf numFmtId="0" fontId="0" fillId="4" borderId="10" xfId="0" applyFill="1" applyBorder="1"/>
    <xf numFmtId="166" fontId="17" fillId="4" borderId="11" xfId="0" applyNumberFormat="1" applyFont="1" applyFill="1" applyBorder="1" applyAlignment="1">
      <alignment horizontal="center"/>
    </xf>
    <xf numFmtId="0" fontId="40" fillId="4" borderId="10" xfId="0" applyFont="1" applyFill="1" applyBorder="1" applyAlignment="1">
      <alignment horizontal="left"/>
    </xf>
    <xf numFmtId="167" fontId="34" fillId="0" borderId="13" xfId="0" applyNumberFormat="1" applyFont="1" applyBorder="1" applyAlignment="1">
      <alignment horizontal="center"/>
    </xf>
    <xf numFmtId="175" fontId="34" fillId="0" borderId="13" xfId="1" applyNumberFormat="1" applyFont="1" applyBorder="1" applyAlignment="1">
      <alignment horizontal="center"/>
    </xf>
    <xf numFmtId="177" fontId="34" fillId="0" borderId="13" xfId="1" applyNumberFormat="1" applyFont="1" applyBorder="1" applyAlignment="1">
      <alignment horizontal="center"/>
    </xf>
    <xf numFmtId="4" fontId="34" fillId="0" borderId="13" xfId="0" applyNumberFormat="1" applyFont="1" applyBorder="1" applyAlignment="1">
      <alignment horizontal="center"/>
    </xf>
    <xf numFmtId="0" fontId="0" fillId="0" borderId="12" xfId="0" applyBorder="1"/>
    <xf numFmtId="168" fontId="0" fillId="0" borderId="0" xfId="0" applyNumberFormat="1" applyAlignment="1">
      <alignment horizontal="center"/>
    </xf>
    <xf numFmtId="4" fontId="7" fillId="0" borderId="0" xfId="0" applyNumberFormat="1" applyFont="1" applyBorder="1" applyAlignment="1">
      <alignment horizontal="center"/>
    </xf>
    <xf numFmtId="167" fontId="7" fillId="2" borderId="0" xfId="0" applyNumberFormat="1" applyFont="1" applyFill="1" applyBorder="1" applyAlignment="1">
      <alignment horizontal="center"/>
    </xf>
    <xf numFmtId="179" fontId="7" fillId="2" borderId="0" xfId="1" applyNumberFormat="1" applyFont="1" applyFill="1" applyBorder="1" applyAlignment="1">
      <alignment horizontal="center"/>
    </xf>
    <xf numFmtId="182" fontId="7" fillId="0" borderId="8" xfId="1" applyNumberFormat="1" applyFont="1" applyBorder="1" applyAlignment="1">
      <alignment horizontal="center"/>
    </xf>
    <xf numFmtId="167" fontId="7" fillId="0" borderId="8" xfId="1" applyNumberFormat="1" applyFont="1" applyBorder="1" applyAlignment="1">
      <alignment horizontal="center"/>
    </xf>
    <xf numFmtId="4" fontId="7" fillId="0" borderId="8" xfId="1" applyNumberFormat="1" applyFont="1" applyBorder="1" applyAlignment="1">
      <alignment horizontal="center"/>
    </xf>
    <xf numFmtId="4" fontId="7" fillId="2" borderId="8" xfId="1" applyNumberFormat="1" applyFont="1" applyFill="1" applyBorder="1" applyAlignment="1">
      <alignment horizontal="center"/>
    </xf>
    <xf numFmtId="165" fontId="7" fillId="0" borderId="0" xfId="1" applyNumberFormat="1" applyFont="1" applyBorder="1" applyAlignment="1">
      <alignment horizontal="center"/>
    </xf>
    <xf numFmtId="4" fontId="7" fillId="0" borderId="0" xfId="1" applyNumberFormat="1" applyFont="1" applyBorder="1" applyAlignment="1">
      <alignment horizontal="center"/>
    </xf>
    <xf numFmtId="166" fontId="7" fillId="0" borderId="0" xfId="1" applyNumberFormat="1" applyFont="1" applyBorder="1" applyAlignment="1">
      <alignment horizontal="center"/>
    </xf>
    <xf numFmtId="167" fontId="7" fillId="2" borderId="8" xfId="0" applyNumberFormat="1" applyFont="1" applyFill="1" applyBorder="1" applyAlignment="1">
      <alignment horizontal="center"/>
    </xf>
    <xf numFmtId="182" fontId="7" fillId="2" borderId="8" xfId="1" applyNumberFormat="1" applyFont="1" applyFill="1" applyBorder="1" applyAlignment="1">
      <alignment horizontal="center"/>
    </xf>
    <xf numFmtId="166" fontId="7" fillId="2" borderId="0" xfId="1" applyNumberFormat="1" applyFont="1" applyFill="1" applyBorder="1" applyAlignment="1">
      <alignment horizontal="center"/>
    </xf>
    <xf numFmtId="167" fontId="7" fillId="2" borderId="0" xfId="1" applyNumberFormat="1" applyFont="1" applyFill="1" applyBorder="1" applyAlignment="1">
      <alignment horizontal="center"/>
    </xf>
    <xf numFmtId="166" fontId="7" fillId="2" borderId="8" xfId="1" applyNumberFormat="1" applyFont="1" applyFill="1" applyBorder="1" applyAlignment="1">
      <alignment horizontal="center"/>
    </xf>
    <xf numFmtId="175" fontId="7" fillId="2" borderId="8" xfId="0" applyNumberFormat="1" applyFont="1" applyFill="1" applyBorder="1" applyAlignment="1">
      <alignment horizontal="center"/>
    </xf>
    <xf numFmtId="182" fontId="34" fillId="0" borderId="13" xfId="0" applyNumberFormat="1" applyFont="1" applyBorder="1" applyAlignment="1">
      <alignment horizontal="center"/>
    </xf>
    <xf numFmtId="174" fontId="34" fillId="0" borderId="13" xfId="1" applyNumberFormat="1" applyFont="1" applyBorder="1" applyAlignment="1">
      <alignment horizontal="center"/>
    </xf>
    <xf numFmtId="0" fontId="12" fillId="0" borderId="0" xfId="0" applyFont="1" applyBorder="1"/>
    <xf numFmtId="0" fontId="12" fillId="0" borderId="3" xfId="0" applyFont="1" applyBorder="1"/>
    <xf numFmtId="0" fontId="0" fillId="0" borderId="3" xfId="0" applyBorder="1"/>
    <xf numFmtId="4" fontId="16" fillId="0" borderId="0" xfId="1" quotePrefix="1" applyNumberFormat="1" applyFont="1" applyBorder="1" applyAlignment="1">
      <alignment horizontal="left"/>
    </xf>
    <xf numFmtId="4" fontId="16" fillId="0" borderId="0" xfId="1" applyNumberFormat="1" applyFont="1" applyBorder="1"/>
    <xf numFmtId="4" fontId="16" fillId="0" borderId="6" xfId="1" applyNumberFormat="1" applyFont="1" applyBorder="1"/>
    <xf numFmtId="2" fontId="37" fillId="0" borderId="4" xfId="0" applyNumberFormat="1" applyFont="1" applyBorder="1" applyAlignment="1">
      <alignment horizontal="center"/>
    </xf>
    <xf numFmtId="168" fontId="37" fillId="0" borderId="8" xfId="0" applyNumberFormat="1" applyFont="1" applyBorder="1" applyAlignment="1">
      <alignment horizontal="center"/>
    </xf>
    <xf numFmtId="0" fontId="12" fillId="0" borderId="0" xfId="0" quotePrefix="1" applyFont="1" applyBorder="1" applyAlignment="1">
      <alignment horizontal="left"/>
    </xf>
    <xf numFmtId="2" fontId="37" fillId="0" borderId="8" xfId="0" applyNumberFormat="1" applyFont="1" applyBorder="1" applyAlignment="1">
      <alignment horizontal="center"/>
    </xf>
    <xf numFmtId="166" fontId="7" fillId="0" borderId="8" xfId="1" applyNumberFormat="1" applyFont="1" applyBorder="1" applyAlignment="1">
      <alignment horizontal="center"/>
    </xf>
    <xf numFmtId="0" fontId="36" fillId="0" borderId="0" xfId="0" applyFont="1" applyAlignment="1">
      <alignment horizontal="left"/>
    </xf>
    <xf numFmtId="0" fontId="41" fillId="4" borderId="0" xfId="0" applyFont="1" applyFill="1" applyAlignment="1">
      <alignment horizontal="left"/>
    </xf>
    <xf numFmtId="0" fontId="0" fillId="4" borderId="0" xfId="0" applyFill="1" applyAlignment="1">
      <alignment horizontal="center"/>
    </xf>
    <xf numFmtId="0" fontId="1" fillId="4" borderId="0" xfId="0" applyFont="1" applyFill="1" applyAlignment="1">
      <alignment horizontal="left"/>
    </xf>
    <xf numFmtId="4" fontId="0" fillId="0" borderId="0" xfId="0" applyNumberFormat="1" applyAlignment="1">
      <alignment horizontal="center"/>
    </xf>
    <xf numFmtId="168" fontId="4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44" fillId="0" borderId="0" xfId="0" applyFont="1" applyAlignment="1">
      <alignment horizontal="center"/>
    </xf>
    <xf numFmtId="0" fontId="0" fillId="0" borderId="0" xfId="0" quotePrefix="1" applyAlignment="1">
      <alignment horizontal="center"/>
    </xf>
    <xf numFmtId="9" fontId="0" fillId="0" borderId="0" xfId="0" quotePrefix="1" applyNumberFormat="1" applyAlignment="1">
      <alignment horizontal="center"/>
    </xf>
    <xf numFmtId="177" fontId="45" fillId="0" borderId="0" xfId="0" applyNumberFormat="1" applyFont="1" applyAlignment="1">
      <alignment horizontal="center"/>
    </xf>
    <xf numFmtId="175" fontId="45" fillId="0" borderId="0" xfId="0" applyNumberFormat="1" applyFont="1" applyAlignment="1">
      <alignment horizontal="center"/>
    </xf>
    <xf numFmtId="177" fontId="42" fillId="0" borderId="0" xfId="0" applyNumberFormat="1" applyFont="1" applyAlignment="1">
      <alignment horizontal="center"/>
    </xf>
    <xf numFmtId="4" fontId="33" fillId="0" borderId="8" xfId="1" applyNumberFormat="1" applyFont="1" applyBorder="1" applyAlignment="1">
      <alignment horizontal="center"/>
    </xf>
    <xf numFmtId="4" fontId="37" fillId="0" borderId="8" xfId="1" applyNumberFormat="1" applyFont="1" applyBorder="1" applyAlignment="1">
      <alignment horizontal="center"/>
    </xf>
    <xf numFmtId="177" fontId="33" fillId="0" borderId="8" xfId="1" applyNumberFormat="1" applyFont="1" applyBorder="1" applyAlignment="1">
      <alignment horizontal="center"/>
    </xf>
    <xf numFmtId="166" fontId="33" fillId="0" borderId="8" xfId="0" applyNumberFormat="1" applyFont="1" applyBorder="1" applyAlignment="1">
      <alignment horizontal="center"/>
    </xf>
    <xf numFmtId="4" fontId="33" fillId="0" borderId="8" xfId="0" applyNumberFormat="1" applyFont="1" applyBorder="1" applyAlignment="1">
      <alignment horizontal="center"/>
    </xf>
    <xf numFmtId="167" fontId="33" fillId="0" borderId="8" xfId="0" applyNumberFormat="1" applyFont="1" applyBorder="1" applyAlignment="1">
      <alignment horizontal="center"/>
    </xf>
    <xf numFmtId="1" fontId="33" fillId="0" borderId="8" xfId="0" applyNumberFormat="1" applyFont="1" applyBorder="1" applyAlignment="1">
      <alignment horizontal="center"/>
    </xf>
    <xf numFmtId="177" fontId="33" fillId="0" borderId="8" xfId="0" applyNumberFormat="1" applyFont="1" applyBorder="1" applyAlignment="1">
      <alignment horizontal="center"/>
    </xf>
    <xf numFmtId="0" fontId="7" fillId="0" borderId="5" xfId="0" applyFont="1" applyBorder="1"/>
    <xf numFmtId="168" fontId="33" fillId="0" borderId="7" xfId="0" applyNumberFormat="1" applyFont="1" applyBorder="1" applyAlignment="1">
      <alignment horizontal="center"/>
    </xf>
    <xf numFmtId="0" fontId="39" fillId="0" borderId="2" xfId="0" applyFont="1" applyBorder="1"/>
    <xf numFmtId="0" fontId="0" fillId="0" borderId="4" xfId="0" applyBorder="1"/>
    <xf numFmtId="0" fontId="0" fillId="0" borderId="2" xfId="0" applyBorder="1"/>
    <xf numFmtId="4" fontId="34" fillId="2" borderId="8" xfId="0" applyNumberFormat="1" applyFont="1" applyFill="1" applyBorder="1" applyAlignment="1">
      <alignment horizontal="center"/>
    </xf>
    <xf numFmtId="4" fontId="17" fillId="0" borderId="8" xfId="1" applyNumberFormat="1" applyFont="1" applyBorder="1" applyAlignment="1">
      <alignment horizontal="center"/>
    </xf>
    <xf numFmtId="2" fontId="36" fillId="0" borderId="8" xfId="0" applyNumberFormat="1" applyFont="1" applyBorder="1" applyAlignment="1">
      <alignment horizontal="center"/>
    </xf>
    <xf numFmtId="177" fontId="17" fillId="0" borderId="7" xfId="0" applyNumberFormat="1" applyFont="1" applyBorder="1" applyAlignment="1">
      <alignment horizontal="center"/>
    </xf>
    <xf numFmtId="175" fontId="36" fillId="0" borderId="13" xfId="0" applyNumberFormat="1" applyFont="1" applyBorder="1" applyAlignment="1">
      <alignment horizontal="center"/>
    </xf>
    <xf numFmtId="168" fontId="36" fillId="0" borderId="13" xfId="0" applyNumberFormat="1" applyFont="1" applyBorder="1" applyAlignment="1">
      <alignment horizontal="center"/>
    </xf>
    <xf numFmtId="165" fontId="34" fillId="2" borderId="14" xfId="0" applyNumberFormat="1" applyFont="1" applyFill="1" applyBorder="1" applyAlignment="1">
      <alignment horizontal="center"/>
    </xf>
    <xf numFmtId="167" fontId="17" fillId="0" borderId="13" xfId="1" applyNumberFormat="1" applyFont="1" applyBorder="1" applyAlignment="1">
      <alignment horizontal="center"/>
    </xf>
    <xf numFmtId="167" fontId="34" fillId="2" borderId="8" xfId="0" applyNumberFormat="1" applyFont="1" applyFill="1" applyBorder="1" applyAlignment="1">
      <alignment horizontal="center"/>
    </xf>
    <xf numFmtId="4" fontId="19" fillId="0" borderId="8" xfId="0" applyNumberFormat="1" applyFont="1" applyBorder="1" applyAlignment="1">
      <alignment horizontal="center"/>
    </xf>
    <xf numFmtId="11" fontId="0" fillId="0" borderId="0" xfId="0" applyNumberFormat="1" applyAlignment="1">
      <alignment horizontal="center"/>
    </xf>
    <xf numFmtId="177" fontId="7" fillId="0" borderId="0" xfId="0" applyNumberFormat="1" applyFont="1" applyBorder="1" applyAlignment="1">
      <alignment horizontal="center"/>
    </xf>
    <xf numFmtId="2" fontId="17" fillId="0" borderId="8" xfId="0" applyNumberFormat="1" applyFont="1" applyBorder="1" applyAlignment="1">
      <alignment horizontal="center"/>
    </xf>
    <xf numFmtId="0" fontId="46" fillId="4" borderId="9" xfId="0" applyFont="1" applyFill="1" applyBorder="1" applyAlignment="1">
      <alignment horizontal="center"/>
    </xf>
    <xf numFmtId="0" fontId="46" fillId="4" borderId="11" xfId="0" applyFont="1" applyFill="1" applyBorder="1" applyAlignment="1">
      <alignment horizontal="center"/>
    </xf>
    <xf numFmtId="0" fontId="49" fillId="4" borderId="9" xfId="0" applyFont="1" applyFill="1" applyBorder="1" applyAlignment="1">
      <alignment horizontal="center"/>
    </xf>
    <xf numFmtId="175" fontId="48" fillId="4" borderId="10" xfId="0" applyNumberFormat="1" applyFont="1" applyFill="1" applyBorder="1" applyAlignment="1">
      <alignment horizontal="center"/>
    </xf>
    <xf numFmtId="0" fontId="51" fillId="0" borderId="0" xfId="0" applyFont="1"/>
    <xf numFmtId="0" fontId="52" fillId="0" borderId="0" xfId="0" applyFont="1"/>
    <xf numFmtId="0" fontId="53" fillId="4" borderId="9" xfId="0" applyFont="1" applyFill="1" applyBorder="1" applyAlignment="1">
      <alignment horizontal="center"/>
    </xf>
    <xf numFmtId="0" fontId="53" fillId="4" borderId="11" xfId="0" applyFont="1" applyFill="1" applyBorder="1" applyAlignment="1">
      <alignment horizontal="left"/>
    </xf>
    <xf numFmtId="0" fontId="53" fillId="4" borderId="11" xfId="0" applyFont="1" applyFill="1" applyBorder="1" applyAlignment="1">
      <alignment horizontal="center"/>
    </xf>
    <xf numFmtId="0" fontId="49" fillId="2" borderId="0" xfId="0" applyFont="1" applyFill="1" applyBorder="1" applyAlignment="1">
      <alignment horizontal="center"/>
    </xf>
    <xf numFmtId="0" fontId="48" fillId="2" borderId="0" xfId="0" applyFont="1" applyFill="1" applyBorder="1" applyAlignment="1">
      <alignment horizontal="center"/>
    </xf>
    <xf numFmtId="0" fontId="46" fillId="2" borderId="0" xfId="0" applyFont="1" applyFill="1" applyBorder="1" applyAlignment="1">
      <alignment horizontal="center"/>
    </xf>
    <xf numFmtId="11" fontId="54" fillId="2" borderId="0" xfId="0" applyNumberFormat="1" applyFont="1" applyFill="1"/>
    <xf numFmtId="0" fontId="20" fillId="0" borderId="0" xfId="0" applyFont="1" applyBorder="1"/>
    <xf numFmtId="11" fontId="31" fillId="0" borderId="8" xfId="0" applyNumberFormat="1" applyFont="1" applyBorder="1" applyAlignment="1">
      <alignment horizontal="center"/>
    </xf>
    <xf numFmtId="0" fontId="20" fillId="0" borderId="6" xfId="0" applyFont="1" applyBorder="1"/>
    <xf numFmtId="11" fontId="31" fillId="0" borderId="7" xfId="0" applyNumberFormat="1" applyFont="1" applyBorder="1" applyAlignment="1">
      <alignment horizontal="center"/>
    </xf>
    <xf numFmtId="39" fontId="20" fillId="0" borderId="3" xfId="0" applyNumberFormat="1" applyFont="1" applyBorder="1" applyAlignment="1">
      <alignment horizontal="center"/>
    </xf>
    <xf numFmtId="166" fontId="20" fillId="0" borderId="4" xfId="0" applyNumberFormat="1" applyFont="1" applyBorder="1" applyAlignment="1">
      <alignment horizontal="center"/>
    </xf>
    <xf numFmtId="177" fontId="11" fillId="0" borderId="1" xfId="0" applyNumberFormat="1" applyFont="1" applyBorder="1"/>
    <xf numFmtId="4" fontId="11" fillId="0" borderId="1" xfId="0" applyNumberFormat="1" applyFont="1" applyBorder="1" applyAlignment="1">
      <alignment horizontal="center"/>
    </xf>
    <xf numFmtId="4" fontId="11" fillId="0" borderId="1" xfId="1" applyNumberFormat="1" applyFont="1" applyBorder="1"/>
    <xf numFmtId="4" fontId="11" fillId="0" borderId="5" xfId="1" applyNumberFormat="1" applyFont="1" applyBorder="1"/>
    <xf numFmtId="0" fontId="11" fillId="0" borderId="12" xfId="0" applyFont="1" applyBorder="1"/>
    <xf numFmtId="0" fontId="11" fillId="0" borderId="13" xfId="0" applyFont="1" applyBorder="1"/>
    <xf numFmtId="4" fontId="11" fillId="0" borderId="13" xfId="1" applyNumberFormat="1" applyFont="1" applyBorder="1"/>
    <xf numFmtId="4" fontId="11" fillId="0" borderId="14" xfId="1" applyNumberFormat="1" applyFont="1" applyBorder="1"/>
    <xf numFmtId="4" fontId="11" fillId="0" borderId="0" xfId="0" applyNumberFormat="1" applyFont="1"/>
    <xf numFmtId="175" fontId="47" fillId="4" borderId="10" xfId="0" applyNumberFormat="1" applyFont="1" applyFill="1" applyBorder="1" applyAlignment="1">
      <alignment horizontal="center"/>
    </xf>
    <xf numFmtId="167" fontId="11" fillId="0" borderId="8" xfId="0" applyNumberFormat="1" applyFont="1" applyBorder="1"/>
    <xf numFmtId="0" fontId="55" fillId="0" borderId="0" xfId="0" applyFont="1" applyBorder="1" applyAlignment="1">
      <alignment horizontal="center"/>
    </xf>
    <xf numFmtId="177" fontId="55" fillId="0" borderId="6" xfId="0" applyNumberFormat="1" applyFont="1" applyBorder="1" applyAlignment="1">
      <alignment horizontal="center"/>
    </xf>
    <xf numFmtId="4" fontId="39" fillId="2" borderId="0" xfId="0" applyNumberFormat="1" applyFont="1" applyFill="1" applyBorder="1" applyAlignment="1">
      <alignment horizontal="center"/>
    </xf>
    <xf numFmtId="166" fontId="39" fillId="2" borderId="6" xfId="0" quotePrefix="1" applyNumberFormat="1" applyFont="1" applyFill="1" applyBorder="1" applyAlignment="1">
      <alignment horizontal="center"/>
    </xf>
    <xf numFmtId="165" fontId="39" fillId="2" borderId="0" xfId="0" applyNumberFormat="1" applyFont="1" applyFill="1" applyBorder="1" applyAlignment="1">
      <alignment horizontal="center"/>
    </xf>
    <xf numFmtId="0" fontId="1" fillId="0" borderId="0" xfId="0" applyFont="1"/>
    <xf numFmtId="174" fontId="36" fillId="0" borderId="13" xfId="0" applyNumberFormat="1" applyFont="1" applyBorder="1" applyAlignment="1">
      <alignment horizontal="center"/>
    </xf>
    <xf numFmtId="177" fontId="11" fillId="0" borderId="12" xfId="0" applyNumberFormat="1" applyFont="1" applyBorder="1"/>
    <xf numFmtId="4" fontId="11" fillId="0" borderId="13" xfId="0" applyNumberFormat="1" applyFont="1" applyBorder="1" applyAlignment="1">
      <alignment horizontal="center"/>
    </xf>
    <xf numFmtId="167" fontId="7" fillId="0" borderId="0" xfId="0" applyNumberFormat="1" applyFont="1" applyBorder="1" applyAlignment="1">
      <alignment horizontal="center"/>
    </xf>
    <xf numFmtId="167" fontId="11" fillId="0" borderId="0" xfId="0" applyNumberFormat="1" applyFont="1"/>
    <xf numFmtId="4" fontId="11" fillId="0" borderId="8" xfId="1" applyNumberFormat="1" applyFont="1" applyBorder="1" applyAlignment="1">
      <alignment horizontal="center"/>
    </xf>
    <xf numFmtId="11" fontId="33" fillId="2" borderId="0" xfId="1" applyNumberFormat="1" applyFont="1" applyFill="1" applyBorder="1" applyAlignment="1">
      <alignment horizontal="left"/>
    </xf>
    <xf numFmtId="11" fontId="18" fillId="2" borderId="0" xfId="1" applyNumberFormat="1" applyFont="1" applyFill="1" applyBorder="1" applyAlignment="1">
      <alignment horizontal="left"/>
    </xf>
    <xf numFmtId="0" fontId="39" fillId="0" borderId="0" xfId="0" quotePrefix="1" applyFont="1" applyBorder="1" applyAlignment="1">
      <alignment horizontal="left"/>
    </xf>
    <xf numFmtId="170" fontId="56" fillId="2" borderId="0" xfId="1" applyNumberFormat="1" applyFont="1" applyFill="1" applyBorder="1" applyAlignment="1">
      <alignment horizontal="left"/>
    </xf>
    <xf numFmtId="177" fontId="19" fillId="0" borderId="8" xfId="0" applyNumberFormat="1" applyFont="1" applyBorder="1" applyAlignment="1">
      <alignment horizontal="center"/>
    </xf>
    <xf numFmtId="179" fontId="37" fillId="0" borderId="8" xfId="0" applyNumberFormat="1" applyFont="1" applyBorder="1" applyAlignment="1">
      <alignment horizontal="center"/>
    </xf>
    <xf numFmtId="4" fontId="20" fillId="0" borderId="8" xfId="1" applyNumberFormat="1" applyFont="1" applyBorder="1"/>
    <xf numFmtId="4" fontId="7" fillId="0" borderId="2" xfId="1" applyNumberFormat="1" applyFont="1" applyBorder="1"/>
    <xf numFmtId="3" fontId="37" fillId="2" borderId="4" xfId="0" applyNumberFormat="1" applyFont="1" applyFill="1" applyBorder="1" applyAlignment="1">
      <alignment horizontal="center"/>
    </xf>
    <xf numFmtId="4" fontId="7" fillId="0" borderId="1" xfId="1" applyNumberFormat="1" applyFont="1" applyBorder="1"/>
    <xf numFmtId="3" fontId="37" fillId="2" borderId="8" xfId="0" applyNumberFormat="1" applyFont="1" applyFill="1" applyBorder="1" applyAlignment="1">
      <alignment horizontal="center"/>
    </xf>
    <xf numFmtId="179" fontId="57" fillId="0" borderId="0" xfId="0" applyNumberFormat="1" applyFont="1" applyBorder="1" applyAlignment="1">
      <alignment horizontal="center"/>
    </xf>
    <xf numFmtId="181" fontId="57" fillId="0" borderId="0" xfId="0" applyNumberFormat="1" applyFont="1" applyBorder="1" applyAlignment="1">
      <alignment horizontal="center"/>
    </xf>
    <xf numFmtId="165" fontId="57" fillId="0" borderId="0" xfId="0" applyNumberFormat="1" applyFont="1" applyBorder="1" applyAlignment="1">
      <alignment horizontal="center"/>
    </xf>
    <xf numFmtId="166" fontId="57" fillId="0" borderId="0" xfId="0" applyNumberFormat="1" applyFont="1" applyBorder="1" applyAlignment="1">
      <alignment horizontal="center"/>
    </xf>
    <xf numFmtId="166" fontId="57" fillId="0" borderId="13" xfId="0" applyNumberFormat="1" applyFont="1" applyBorder="1" applyAlignment="1">
      <alignment horizontal="center"/>
    </xf>
    <xf numFmtId="2" fontId="57" fillId="0" borderId="13" xfId="1" applyNumberFormat="1" applyFont="1" applyBorder="1" applyAlignment="1">
      <alignment horizontal="center"/>
    </xf>
    <xf numFmtId="4" fontId="57" fillId="0" borderId="13" xfId="0" applyNumberFormat="1" applyFont="1" applyBorder="1" applyAlignment="1">
      <alignment horizontal="center"/>
    </xf>
    <xf numFmtId="167" fontId="57" fillId="0" borderId="13" xfId="0" applyNumberFormat="1" applyFont="1" applyBorder="1" applyAlignment="1">
      <alignment horizontal="center"/>
    </xf>
    <xf numFmtId="175" fontId="57" fillId="0" borderId="14" xfId="1" applyNumberFormat="1" applyFont="1" applyBorder="1" applyAlignment="1">
      <alignment horizontal="center"/>
    </xf>
    <xf numFmtId="4" fontId="32" fillId="4" borderId="10" xfId="1" applyNumberFormat="1" applyFont="1" applyFill="1" applyBorder="1" applyAlignment="1">
      <alignment horizontal="center"/>
    </xf>
    <xf numFmtId="168" fontId="48" fillId="4" borderId="10" xfId="0" applyNumberFormat="1" applyFont="1" applyFill="1" applyBorder="1" applyAlignment="1">
      <alignment horizontal="center"/>
    </xf>
    <xf numFmtId="0" fontId="11" fillId="0" borderId="5" xfId="0" quotePrefix="1" applyFont="1" applyBorder="1" applyAlignment="1">
      <alignment horizontal="left"/>
    </xf>
    <xf numFmtId="0" fontId="11" fillId="0" borderId="7" xfId="0" quotePrefix="1" applyFont="1" applyBorder="1" applyAlignment="1">
      <alignment horizontal="left"/>
    </xf>
    <xf numFmtId="1" fontId="33" fillId="0" borderId="6" xfId="0" applyNumberFormat="1" applyFont="1" applyBorder="1"/>
    <xf numFmtId="176" fontId="16" fillId="0" borderId="6" xfId="0" applyNumberFormat="1" applyFont="1" applyBorder="1"/>
    <xf numFmtId="174" fontId="4" fillId="2" borderId="0" xfId="1" applyNumberFormat="1" applyFont="1" applyFill="1" applyBorder="1"/>
    <xf numFmtId="167" fontId="7" fillId="2" borderId="8" xfId="1" applyNumberFormat="1" applyFont="1" applyFill="1" applyBorder="1" applyAlignment="1">
      <alignment horizontal="center"/>
    </xf>
    <xf numFmtId="2" fontId="16" fillId="0" borderId="0" xfId="0" applyNumberFormat="1" applyFont="1" applyAlignment="1">
      <alignment horizontal="center" vertical="center"/>
    </xf>
    <xf numFmtId="0" fontId="58" fillId="0" borderId="15" xfId="0" applyFont="1" applyBorder="1" applyAlignment="1">
      <alignment horizontal="center" vertical="center" wrapText="1"/>
    </xf>
    <xf numFmtId="0" fontId="58" fillId="0" borderId="15" xfId="0" applyFont="1" applyBorder="1" applyAlignment="1">
      <alignment horizontal="center" vertical="center"/>
    </xf>
    <xf numFmtId="0" fontId="38" fillId="0" borderId="3" xfId="0" applyFont="1" applyBorder="1" applyAlignment="1">
      <alignment horizontal="center"/>
    </xf>
    <xf numFmtId="2" fontId="33" fillId="0" borderId="3" xfId="0" applyNumberFormat="1" applyFon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horizontal="center" vertical="center"/>
    </xf>
    <xf numFmtId="10" fontId="59" fillId="0" borderId="0" xfId="0" applyNumberFormat="1" applyFont="1" applyAlignment="1">
      <alignment horizontal="center" vertical="center"/>
    </xf>
    <xf numFmtId="2" fontId="59" fillId="0" borderId="0" xfId="0" applyNumberFormat="1" applyFont="1" applyAlignment="1">
      <alignment horizontal="center" vertical="center"/>
    </xf>
    <xf numFmtId="177" fontId="59" fillId="0" borderId="0" xfId="0" applyNumberFormat="1" applyFont="1" applyAlignment="1">
      <alignment horizontal="center" vertical="center"/>
    </xf>
    <xf numFmtId="2" fontId="59" fillId="0" borderId="0" xfId="0" applyNumberFormat="1" applyFont="1" applyAlignment="1">
      <alignment horizontal="center" vertical="top"/>
    </xf>
    <xf numFmtId="10" fontId="60" fillId="0" borderId="0" xfId="0" applyNumberFormat="1" applyFont="1" applyAlignment="1">
      <alignment horizontal="center" vertical="center"/>
    </xf>
    <xf numFmtId="2" fontId="60" fillId="0" borderId="0" xfId="0" applyNumberFormat="1" applyFont="1" applyAlignment="1">
      <alignment horizontal="center" vertical="center"/>
    </xf>
    <xf numFmtId="177" fontId="60" fillId="0" borderId="0" xfId="0" applyNumberFormat="1" applyFont="1" applyAlignment="1">
      <alignment horizontal="center" vertical="center"/>
    </xf>
    <xf numFmtId="2" fontId="60" fillId="0" borderId="0" xfId="0" applyNumberFormat="1" applyFont="1" applyAlignment="1">
      <alignment horizontal="center" vertical="top"/>
    </xf>
    <xf numFmtId="10" fontId="61" fillId="0" borderId="0" xfId="0" applyNumberFormat="1" applyFont="1" applyAlignment="1">
      <alignment horizontal="center" vertical="center"/>
    </xf>
    <xf numFmtId="2" fontId="61" fillId="0" borderId="0" xfId="0" applyNumberFormat="1" applyFont="1" applyAlignment="1">
      <alignment horizontal="center" vertical="center"/>
    </xf>
    <xf numFmtId="10" fontId="62" fillId="0" borderId="0" xfId="0" applyNumberFormat="1" applyFont="1" applyAlignment="1">
      <alignment horizontal="center" vertical="center"/>
    </xf>
    <xf numFmtId="2" fontId="62" fillId="0" borderId="0" xfId="0" applyNumberFormat="1" applyFont="1" applyAlignment="1">
      <alignment horizontal="center" vertical="center"/>
    </xf>
    <xf numFmtId="2" fontId="60" fillId="0" borderId="0" xfId="0" applyNumberFormat="1" applyFont="1" applyFill="1" applyBorder="1" applyAlignment="1">
      <alignment horizontal="center" vertical="center"/>
    </xf>
    <xf numFmtId="2" fontId="61" fillId="0" borderId="0" xfId="0" applyNumberFormat="1" applyFont="1" applyFill="1" applyBorder="1" applyAlignment="1">
      <alignment horizontal="center" vertical="center"/>
    </xf>
    <xf numFmtId="2" fontId="62" fillId="0" borderId="0" xfId="0" applyNumberFormat="1" applyFont="1" applyFill="1" applyBorder="1" applyAlignment="1">
      <alignment horizontal="center" vertical="center"/>
    </xf>
    <xf numFmtId="1" fontId="59" fillId="0" borderId="0" xfId="0" applyNumberFormat="1" applyFont="1" applyAlignment="1">
      <alignment horizontal="center" vertical="center"/>
    </xf>
    <xf numFmtId="1" fontId="60" fillId="0" borderId="0" xfId="0" applyNumberFormat="1" applyFont="1" applyAlignment="1">
      <alignment horizontal="center" vertical="center"/>
    </xf>
    <xf numFmtId="1" fontId="61" fillId="0" borderId="0" xfId="0" applyNumberFormat="1" applyFont="1" applyAlignment="1">
      <alignment horizontal="center" vertical="center"/>
    </xf>
    <xf numFmtId="1" fontId="62" fillId="0" borderId="0" xfId="0" applyNumberFormat="1" applyFont="1" applyAlignment="1">
      <alignment horizontal="center" vertical="center"/>
    </xf>
    <xf numFmtId="168" fontId="59" fillId="0" borderId="0" xfId="0" applyNumberFormat="1" applyFont="1" applyAlignment="1">
      <alignment horizontal="center" vertical="top"/>
    </xf>
    <xf numFmtId="168" fontId="60" fillId="0" borderId="0" xfId="0" applyNumberFormat="1" applyFont="1" applyAlignment="1">
      <alignment horizontal="center" vertical="top"/>
    </xf>
    <xf numFmtId="168" fontId="61" fillId="0" borderId="0" xfId="0" applyNumberFormat="1" applyFont="1" applyAlignment="1">
      <alignment horizontal="center" vertical="top"/>
    </xf>
    <xf numFmtId="168" fontId="62" fillId="0" borderId="0" xfId="0" applyNumberFormat="1" applyFont="1" applyAlignment="1">
      <alignment horizontal="center" vertical="top"/>
    </xf>
    <xf numFmtId="0" fontId="63" fillId="6" borderId="0" xfId="0" applyFont="1" applyFill="1" applyAlignment="1">
      <alignment horizontal="left" vertical="center" wrapText="1"/>
    </xf>
  </cellXfs>
  <cellStyles count="2">
    <cellStyle name="Normal" xfId="0" builtinId="0"/>
    <cellStyle name="Vírgula" xfId="1" builtinId="3"/>
  </cellStyles>
  <dxfs count="13">
    <dxf>
      <font>
        <strike val="0"/>
        <outline val="0"/>
        <shadow val="0"/>
        <u val="none"/>
        <vertAlign val="baseline"/>
        <sz val="10"/>
        <color auto="1"/>
        <name val="Courier New"/>
        <family val="3"/>
        <scheme val="none"/>
      </font>
      <numFmt numFmtId="2" formatCode="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ourier New"/>
        <family val="3"/>
        <scheme val="none"/>
      </font>
      <numFmt numFmtId="2" formatCode="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ourier New"/>
        <family val="3"/>
        <scheme val="none"/>
      </font>
      <numFmt numFmtId="2" formatCode="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ourier New"/>
        <family val="3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ourier New"/>
        <family val="3"/>
        <scheme val="none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urier New"/>
        <family val="3"/>
        <scheme val="none"/>
      </font>
      <numFmt numFmtId="2" formatCode="0.00"/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ourier New"/>
        <family val="3"/>
        <scheme val="none"/>
      </font>
      <numFmt numFmtId="168" formatCode="0.0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urier New"/>
        <family val="3"/>
        <scheme val="none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urier New"/>
        <family val="3"/>
        <scheme val="none"/>
      </font>
      <numFmt numFmtId="2" formatCode="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ourier New"/>
        <family val="3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ourier New"/>
        <family val="3"/>
        <scheme val="none"/>
      </font>
    </dxf>
    <dxf>
      <border outline="0"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auto="1"/>
        <name val="Courier New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pt-BR">
                <a:solidFill>
                  <a:sysClr val="windowText" lastClr="000000"/>
                </a:solidFill>
              </a:rPr>
              <a:t>BPH em função das velocidades e do TPB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100% TPB (1074 t)</c:v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'Potência x Velocidade'!$D$4:$D$25</c:f>
              <c:numCache>
                <c:formatCode>0.0</c:formatCode>
                <c:ptCount val="22"/>
                <c:pt idx="0">
                  <c:v>5.5</c:v>
                </c:pt>
                <c:pt idx="1">
                  <c:v>6</c:v>
                </c:pt>
                <c:pt idx="2">
                  <c:v>6.5</c:v>
                </c:pt>
                <c:pt idx="3">
                  <c:v>7</c:v>
                </c:pt>
                <c:pt idx="4">
                  <c:v>7.5</c:v>
                </c:pt>
                <c:pt idx="5">
                  <c:v>8</c:v>
                </c:pt>
                <c:pt idx="6">
                  <c:v>8.5</c:v>
                </c:pt>
                <c:pt idx="7">
                  <c:v>9</c:v>
                </c:pt>
                <c:pt idx="8">
                  <c:v>9.5</c:v>
                </c:pt>
                <c:pt idx="9">
                  <c:v>10</c:v>
                </c:pt>
                <c:pt idx="10">
                  <c:v>10.5</c:v>
                </c:pt>
                <c:pt idx="11">
                  <c:v>11</c:v>
                </c:pt>
                <c:pt idx="12">
                  <c:v>11.5</c:v>
                </c:pt>
                <c:pt idx="13">
                  <c:v>12</c:v>
                </c:pt>
                <c:pt idx="14">
                  <c:v>12.5</c:v>
                </c:pt>
                <c:pt idx="15">
                  <c:v>13</c:v>
                </c:pt>
                <c:pt idx="16">
                  <c:v>13.5</c:v>
                </c:pt>
                <c:pt idx="17">
                  <c:v>14</c:v>
                </c:pt>
                <c:pt idx="18">
                  <c:v>14.5</c:v>
                </c:pt>
                <c:pt idx="19">
                  <c:v>15</c:v>
                </c:pt>
                <c:pt idx="20">
                  <c:v>15.5</c:v>
                </c:pt>
                <c:pt idx="21">
                  <c:v>16</c:v>
                </c:pt>
              </c:numCache>
            </c:numRef>
          </c:cat>
          <c:val>
            <c:numRef>
              <c:f>'Potência x Velocidade'!$G$4:$G$25</c:f>
              <c:numCache>
                <c:formatCode>0</c:formatCode>
                <c:ptCount val="22"/>
                <c:pt idx="0">
                  <c:v>63.602359999999983</c:v>
                </c:pt>
                <c:pt idx="1">
                  <c:v>82.668021818181813</c:v>
                </c:pt>
                <c:pt idx="2">
                  <c:v>106.74191272727271</c:v>
                </c:pt>
                <c:pt idx="3">
                  <c:v>137.67256363636363</c:v>
                </c:pt>
                <c:pt idx="4">
                  <c:v>178.4584636363636</c:v>
                </c:pt>
                <c:pt idx="5">
                  <c:v>233.25880727272724</c:v>
                </c:pt>
                <c:pt idx="6">
                  <c:v>307.30751636363635</c:v>
                </c:pt>
                <c:pt idx="7">
                  <c:v>408.18141818181812</c:v>
                </c:pt>
                <c:pt idx="8">
                  <c:v>543.26926272727269</c:v>
                </c:pt>
                <c:pt idx="9">
                  <c:v>721.67936363636352</c:v>
                </c:pt>
                <c:pt idx="10">
                  <c:v>957.27570272727269</c:v>
                </c:pt>
                <c:pt idx="11">
                  <c:v>1245.6841399999998</c:v>
                </c:pt>
                <c:pt idx="12">
                  <c:v>1612.0317990909089</c:v>
                </c:pt>
                <c:pt idx="13">
                  <c:v>2124.2199490909084</c:v>
                </c:pt>
                <c:pt idx="14">
                  <c:v>2745.5251590909088</c:v>
                </c:pt>
                <c:pt idx="15">
                  <c:v>3339.7364945454538</c:v>
                </c:pt>
                <c:pt idx="16">
                  <c:v>3926.3763763636357</c:v>
                </c:pt>
                <c:pt idx="17">
                  <c:v>4736.2371127272718</c:v>
                </c:pt>
                <c:pt idx="18">
                  <c:v>6033.4812936363633</c:v>
                </c:pt>
                <c:pt idx="19">
                  <c:v>7960.5049090909079</c:v>
                </c:pt>
                <c:pt idx="20">
                  <c:v>10382.601642727272</c:v>
                </c:pt>
                <c:pt idx="21">
                  <c:v>12841.357323636363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D3-4D70-954F-9D7256DA43B6}"/>
            </c:ext>
          </c:extLst>
        </c:ser>
        <c:ser>
          <c:idx val="1"/>
          <c:order val="1"/>
          <c:tx>
            <c:v>75% TPB (997,5 t)</c:v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'Potência x Velocidade'!$G$26:$G$47</c:f>
              <c:numCache>
                <c:formatCode>0</c:formatCode>
                <c:ptCount val="22"/>
                <c:pt idx="0">
                  <c:v>61.427182621710323</c:v>
                </c:pt>
                <c:pt idx="1">
                  <c:v>79.833775907894562</c:v>
                </c:pt>
                <c:pt idx="2">
                  <c:v>102.87850214862884</c:v>
                </c:pt>
                <c:pt idx="3">
                  <c:v>132.36301646595945</c:v>
                </c:pt>
                <c:pt idx="4">
                  <c:v>170.90506233850323</c:v>
                </c:pt>
                <c:pt idx="5">
                  <c:v>222.07980304895466</c:v>
                </c:pt>
                <c:pt idx="6">
                  <c:v>290.51118591632417</c:v>
                </c:pt>
                <c:pt idx="7">
                  <c:v>382.89627534865923</c:v>
                </c:pt>
                <c:pt idx="8">
                  <c:v>505.40717248961039</c:v>
                </c:pt>
                <c:pt idx="9">
                  <c:v>666.3728897689839</c:v>
                </c:pt>
                <c:pt idx="10">
                  <c:v>875.89632054640413</c:v>
                </c:pt>
                <c:pt idx="11">
                  <c:v>1130.8637607572823</c:v>
                </c:pt>
                <c:pt idx="12">
                  <c:v>1460.5387541295336</c:v>
                </c:pt>
                <c:pt idx="13">
                  <c:v>1912.4556872727269</c:v>
                </c:pt>
                <c:pt idx="14">
                  <c:v>2435.6678274644887</c:v>
                </c:pt>
                <c:pt idx="15">
                  <c:v>2931.6252712709197</c:v>
                </c:pt>
                <c:pt idx="16">
                  <c:v>3455.4433454514228</c:v>
                </c:pt>
                <c:pt idx="17">
                  <c:v>4209.8215690786865</c:v>
                </c:pt>
                <c:pt idx="18">
                  <c:v>5396.660758651059</c:v>
                </c:pt>
                <c:pt idx="19">
                  <c:v>7089.4409323636846</c:v>
                </c:pt>
                <c:pt idx="20">
                  <c:v>9112.973118675849</c:v>
                </c:pt>
                <c:pt idx="21">
                  <c:v>11057.906405737225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BD3-4D70-954F-9D7256DA43B6}"/>
            </c:ext>
          </c:extLst>
        </c:ser>
        <c:ser>
          <c:idx val="2"/>
          <c:order val="2"/>
          <c:tx>
            <c:v>50% TPB (921 t)</c:v>
          </c:tx>
          <c:spPr>
            <a:ln w="2222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'Potência x Velocidade'!$G$48:$G$69</c:f>
              <c:numCache>
                <c:formatCode>0</c:formatCode>
                <c:ptCount val="22"/>
                <c:pt idx="0">
                  <c:v>59.282967930413889</c:v>
                </c:pt>
                <c:pt idx="1">
                  <c:v>76.998500529400388</c:v>
                </c:pt>
                <c:pt idx="2">
                  <c:v>99.090302388275617</c:v>
                </c:pt>
                <c:pt idx="3">
                  <c:v>127.17522932772307</c:v>
                </c:pt>
                <c:pt idx="4">
                  <c:v>163.57227107909608</c:v>
                </c:pt>
                <c:pt idx="5">
                  <c:v>211.4137990560651</c:v>
                </c:pt>
                <c:pt idx="6">
                  <c:v>274.71008859354123</c:v>
                </c:pt>
                <c:pt idx="7">
                  <c:v>359.3672749544499</c:v>
                </c:pt>
                <c:pt idx="8">
                  <c:v>470.52137400190003</c:v>
                </c:pt>
                <c:pt idx="9">
                  <c:v>615.71368828730624</c:v>
                </c:pt>
                <c:pt idx="10">
                  <c:v>801.61580750113183</c:v>
                </c:pt>
                <c:pt idx="11">
                  <c:v>1027.7867017692872</c:v>
                </c:pt>
                <c:pt idx="12">
                  <c:v>1324.5193859819626</c:v>
                </c:pt>
                <c:pt idx="13">
                  <c:v>1719.2083704547238</c:v>
                </c:pt>
                <c:pt idx="14">
                  <c:v>2155.0282511391747</c:v>
                </c:pt>
                <c:pt idx="15">
                  <c:v>2571.9417134922078</c:v>
                </c:pt>
                <c:pt idx="16">
                  <c:v>3047.4821629489575</c:v>
                </c:pt>
                <c:pt idx="17">
                  <c:v>3752.2535168485847</c:v>
                </c:pt>
                <c:pt idx="18">
                  <c:v>4830.5231855747979</c:v>
                </c:pt>
                <c:pt idx="19">
                  <c:v>6295.6420267061285</c:v>
                </c:pt>
                <c:pt idx="20">
                  <c:v>7948.2603489907979</c:v>
                </c:pt>
                <c:pt idx="21">
                  <c:v>9443.4717090283175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BD3-4D70-954F-9D7256DA43B6}"/>
            </c:ext>
          </c:extLst>
        </c:ser>
        <c:ser>
          <c:idx val="3"/>
          <c:order val="3"/>
          <c:tx>
            <c:v>25% TPB (884,5 t)</c:v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'Potência x Velocidade'!$G$70:$G$91</c:f>
              <c:numCache>
                <c:formatCode>0</c:formatCode>
                <c:ptCount val="22"/>
                <c:pt idx="0">
                  <c:v>57.283499002857461</c:v>
                </c:pt>
                <c:pt idx="1">
                  <c:v>74.391057150601299</c:v>
                </c:pt>
                <c:pt idx="2">
                  <c:v>95.680996515180851</c:v>
                </c:pt>
                <c:pt idx="3">
                  <c:v>122.63738811291162</c:v>
                </c:pt>
                <c:pt idx="4">
                  <c:v>157.35783927647486</c:v>
                </c:pt>
                <c:pt idx="5">
                  <c:v>202.63941960870767</c:v>
                </c:pt>
                <c:pt idx="6">
                  <c:v>262.0214671403881</c:v>
                </c:pt>
                <c:pt idx="7">
                  <c:v>340.78430055626541</c:v>
                </c:pt>
                <c:pt idx="8">
                  <c:v>443.31013380774084</c:v>
                </c:pt>
                <c:pt idx="9">
                  <c:v>576.32167747213441</c:v>
                </c:pt>
                <c:pt idx="10">
                  <c:v>743.9971072343277</c:v>
                </c:pt>
                <c:pt idx="11">
                  <c:v>948.82610894964512</c:v>
                </c:pt>
                <c:pt idx="12">
                  <c:v>1219.2631466977409</c:v>
                </c:pt>
                <c:pt idx="13">
                  <c:v>1566.5009984538867</c:v>
                </c:pt>
                <c:pt idx="14">
                  <c:v>1935.5836188636235</c:v>
                </c:pt>
                <c:pt idx="15">
                  <c:v>2297.6720555599345</c:v>
                </c:pt>
                <c:pt idx="16">
                  <c:v>2739.3408955019186</c:v>
                </c:pt>
                <c:pt idx="17">
                  <c:v>3401.2061783730933</c:v>
                </c:pt>
                <c:pt idx="18">
                  <c:v>4381.174040118618</c:v>
                </c:pt>
                <c:pt idx="19">
                  <c:v>5648.1818301532712</c:v>
                </c:pt>
                <c:pt idx="20">
                  <c:v>6997.4611045941865</c:v>
                </c:pt>
                <c:pt idx="21">
                  <c:v>8150.7745546605056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BD3-4D70-954F-9D7256DA43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17322383"/>
        <c:axId val="917324463"/>
      </c:lineChart>
      <c:catAx>
        <c:axId val="9173223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400">
                    <a:solidFill>
                      <a:sysClr val="windowText" lastClr="000000"/>
                    </a:solidFill>
                    <a:latin typeface="Courier New" panose="02070309020205020404" pitchFamily="49" charset="0"/>
                    <a:cs typeface="Courier New" panose="02070309020205020404" pitchFamily="49" charset="0"/>
                  </a:rPr>
                  <a:t>Velocidades</a:t>
                </a:r>
                <a:r>
                  <a:rPr lang="pt-BR" sz="1400" baseline="0">
                    <a:solidFill>
                      <a:sysClr val="windowText" lastClr="000000"/>
                    </a:solidFill>
                    <a:latin typeface="Courier New" panose="02070309020205020404" pitchFamily="49" charset="0"/>
                    <a:cs typeface="Courier New" panose="02070309020205020404" pitchFamily="49" charset="0"/>
                  </a:rPr>
                  <a:t> (nós)</a:t>
                </a:r>
                <a:endParaRPr lang="pt-BR">
                  <a:solidFill>
                    <a:sysClr val="windowText" lastClr="000000"/>
                  </a:solidFill>
                  <a:latin typeface="Courier New" panose="02070309020205020404" pitchFamily="49" charset="0"/>
                  <a:cs typeface="Courier New" panose="02070309020205020404" pitchFamily="49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17324463"/>
        <c:crosses val="autoZero"/>
        <c:auto val="1"/>
        <c:lblAlgn val="ctr"/>
        <c:lblOffset val="100"/>
        <c:noMultiLvlLbl val="0"/>
      </c:catAx>
      <c:valAx>
        <c:axId val="9173244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400">
                    <a:solidFill>
                      <a:sysClr val="windowText" lastClr="000000"/>
                    </a:solidFill>
                    <a:latin typeface="Courier New" panose="02070309020205020404" pitchFamily="49" charset="0"/>
                    <a:cs typeface="Courier New" panose="02070309020205020404" pitchFamily="49" charset="0"/>
                  </a:rPr>
                  <a:t>BHP</a:t>
                </a:r>
                <a:r>
                  <a:rPr lang="pt-BR" sz="1400" baseline="0">
                    <a:solidFill>
                      <a:sysClr val="windowText" lastClr="000000"/>
                    </a:solidFill>
                    <a:latin typeface="Courier New" panose="02070309020205020404" pitchFamily="49" charset="0"/>
                    <a:cs typeface="Courier New" panose="02070309020205020404" pitchFamily="49" charset="0"/>
                  </a:rPr>
                  <a:t> (kW)</a:t>
                </a:r>
                <a:endParaRPr lang="pt-BR">
                  <a:solidFill>
                    <a:sysClr val="windowText" lastClr="000000"/>
                  </a:solidFill>
                  <a:latin typeface="Courier New" panose="02070309020205020404" pitchFamily="49" charset="0"/>
                  <a:cs typeface="Courier New" panose="02070309020205020404" pitchFamily="49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1732238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8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pt-BR"/>
              <a:t>Diagrama de BURRIL</a:t>
            </a:r>
          </a:p>
        </c:rich>
      </c:tx>
      <c:layout>
        <c:manualLayout>
          <c:xMode val="edge"/>
          <c:yMode val="edge"/>
          <c:x val="0.73273657289002569"/>
          <c:y val="0.12240198560414441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1381074168797962E-2"/>
          <c:y val="3.4642071397399381E-2"/>
          <c:w val="0.9219948849104862"/>
          <c:h val="0.93302645630328984"/>
        </c:manualLayout>
      </c:layout>
      <c:scatterChart>
        <c:scatterStyle val="lineMarker"/>
        <c:varyColors val="0"/>
        <c:ser>
          <c:idx val="0"/>
          <c:order val="0"/>
          <c:tx>
            <c:strRef>
              <c:f>Cavitação!$B$3</c:f>
              <c:strCache>
                <c:ptCount val="1"/>
                <c:pt idx="0">
                  <c:v>5%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og"/>
            <c:dispRSqr val="1"/>
            <c:dispEq val="1"/>
            <c:trendlineLbl>
              <c:layout>
                <c:manualLayout>
                  <c:x val="0.15024104059126706"/>
                  <c:y val="0.44018852693221566"/>
                </c:manualLayout>
              </c:layout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ctr" rtl="1"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pt-BR"/>
                </a:p>
              </c:txPr>
            </c:trendlineLbl>
          </c:trendline>
          <c:xVal>
            <c:numRef>
              <c:f>Cavitação!$A$4:$A$14</c:f>
              <c:numCache>
                <c:formatCode>General</c:formatCode>
                <c:ptCount val="11"/>
                <c:pt idx="0">
                  <c:v>0.16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1.5</c:v>
                </c:pt>
              </c:numCache>
            </c:numRef>
          </c:xVal>
          <c:yVal>
            <c:numRef>
              <c:f>Cavitação!$B$4:$B$14</c:f>
              <c:numCache>
                <c:formatCode>General</c:formatCode>
                <c:ptCount val="11"/>
                <c:pt idx="0">
                  <c:v>0.08</c:v>
                </c:pt>
                <c:pt idx="1">
                  <c:v>0.09</c:v>
                </c:pt>
                <c:pt idx="2">
                  <c:v>0.14499999999999999</c:v>
                </c:pt>
                <c:pt idx="3">
                  <c:v>0.16</c:v>
                </c:pt>
                <c:pt idx="4">
                  <c:v>0.185</c:v>
                </c:pt>
                <c:pt idx="5">
                  <c:v>0.20499999999999999</c:v>
                </c:pt>
                <c:pt idx="6">
                  <c:v>0.22</c:v>
                </c:pt>
                <c:pt idx="7">
                  <c:v>0.24</c:v>
                </c:pt>
                <c:pt idx="8">
                  <c:v>0.26</c:v>
                </c:pt>
                <c:pt idx="9">
                  <c:v>0.27500000000000002</c:v>
                </c:pt>
                <c:pt idx="10">
                  <c:v>0.32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27-4C2F-994F-DA296762B26A}"/>
            </c:ext>
          </c:extLst>
        </c:ser>
        <c:ser>
          <c:idx val="1"/>
          <c:order val="1"/>
          <c:tx>
            <c:strRef>
              <c:f>Cavitação!$C$3</c:f>
              <c:strCache>
                <c:ptCount val="1"/>
                <c:pt idx="0">
                  <c:v>10%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og"/>
            <c:dispRSqr val="0"/>
            <c:dispEq val="1"/>
            <c:trendlineLbl>
              <c:layout>
                <c:manualLayout>
                  <c:x val="0.15024104059126706"/>
                  <c:y val="0.4283507587682302"/>
                </c:manualLayout>
              </c:layout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ctr" rtl="1"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pt-BR"/>
                </a:p>
              </c:txPr>
            </c:trendlineLbl>
          </c:trendline>
          <c:xVal>
            <c:numRef>
              <c:f>Cavitação!$A$4:$A$14</c:f>
              <c:numCache>
                <c:formatCode>General</c:formatCode>
                <c:ptCount val="11"/>
                <c:pt idx="0">
                  <c:v>0.16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1.5</c:v>
                </c:pt>
              </c:numCache>
            </c:numRef>
          </c:xVal>
          <c:yVal>
            <c:numRef>
              <c:f>Cavitação!$C$4:$C$14</c:f>
              <c:numCache>
                <c:formatCode>General</c:formatCode>
                <c:ptCount val="11"/>
                <c:pt idx="0">
                  <c:v>8.5000000000000006E-2</c:v>
                </c:pt>
                <c:pt idx="1">
                  <c:v>0.12</c:v>
                </c:pt>
                <c:pt idx="2">
                  <c:v>0.18</c:v>
                </c:pt>
                <c:pt idx="3">
                  <c:v>0.21</c:v>
                </c:pt>
                <c:pt idx="4">
                  <c:v>0.23</c:v>
                </c:pt>
                <c:pt idx="5">
                  <c:v>0.28000000000000003</c:v>
                </c:pt>
                <c:pt idx="6">
                  <c:v>0.3</c:v>
                </c:pt>
                <c:pt idx="7">
                  <c:v>0.32</c:v>
                </c:pt>
                <c:pt idx="8">
                  <c:v>0.33500000000000002</c:v>
                </c:pt>
                <c:pt idx="9">
                  <c:v>0.36</c:v>
                </c:pt>
                <c:pt idx="10">
                  <c:v>0.40500000000000003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F27-4C2F-994F-DA296762B26A}"/>
            </c:ext>
          </c:extLst>
        </c:ser>
        <c:ser>
          <c:idx val="2"/>
          <c:order val="2"/>
          <c:tx>
            <c:strRef>
              <c:f>Cavitação!$D$3</c:f>
              <c:strCache>
                <c:ptCount val="1"/>
                <c:pt idx="0">
                  <c:v>20%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og"/>
            <c:dispRSqr val="0"/>
            <c:dispEq val="1"/>
            <c:trendlineLbl>
              <c:layout>
                <c:manualLayout>
                  <c:x val="0.13745331680610087"/>
                  <c:y val="0.4081919936000224"/>
                </c:manualLayout>
              </c:layout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ctr" rtl="1"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pt-BR"/>
                </a:p>
              </c:txPr>
            </c:trendlineLbl>
          </c:trendline>
          <c:xVal>
            <c:numRef>
              <c:f>Cavitação!$A$4:$A$14</c:f>
              <c:numCache>
                <c:formatCode>General</c:formatCode>
                <c:ptCount val="11"/>
                <c:pt idx="0">
                  <c:v>0.16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1.5</c:v>
                </c:pt>
              </c:numCache>
            </c:numRef>
          </c:xVal>
          <c:yVal>
            <c:numRef>
              <c:f>Cavitação!$D$4:$D$14</c:f>
              <c:numCache>
                <c:formatCode>General</c:formatCode>
                <c:ptCount val="11"/>
                <c:pt idx="0">
                  <c:v>0.1</c:v>
                </c:pt>
                <c:pt idx="1">
                  <c:v>0.18</c:v>
                </c:pt>
                <c:pt idx="2">
                  <c:v>0.23</c:v>
                </c:pt>
                <c:pt idx="3">
                  <c:v>0.28999999999999998</c:v>
                </c:pt>
                <c:pt idx="4">
                  <c:v>0.32</c:v>
                </c:pt>
                <c:pt idx="5">
                  <c:v>0.36</c:v>
                </c:pt>
                <c:pt idx="6">
                  <c:v>0.41</c:v>
                </c:pt>
                <c:pt idx="7">
                  <c:v>0.42</c:v>
                </c:pt>
                <c:pt idx="8">
                  <c:v>0.44</c:v>
                </c:pt>
                <c:pt idx="9">
                  <c:v>0.46</c:v>
                </c:pt>
                <c:pt idx="10">
                  <c:v>0.52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F27-4C2F-994F-DA296762B26A}"/>
            </c:ext>
          </c:extLst>
        </c:ser>
        <c:ser>
          <c:idx val="3"/>
          <c:order val="3"/>
          <c:tx>
            <c:strRef>
              <c:f>Cavitação!$E$3</c:f>
              <c:strCache>
                <c:ptCount val="1"/>
                <c:pt idx="0">
                  <c:v>30%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og"/>
            <c:dispRSqr val="0"/>
            <c:dispEq val="1"/>
            <c:trendlineLbl>
              <c:layout>
                <c:manualLayout>
                  <c:x val="0.19060366996642975"/>
                  <c:y val="0.35632521522757793"/>
                </c:manualLayout>
              </c:layout>
              <c:tx>
                <c:rich>
                  <a:bodyPr/>
                  <a:lstStyle/>
                  <a:p>
                    <a:pPr algn="ctr" rtl="1">
                      <a:defRPr sz="80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pt-BR"/>
                      <a:t>y = 0,2148Ln(x) + 0,5276</a:t>
                    </a:r>
                  </a:p>
                </c:rich>
              </c:tx>
              <c:numFmt formatCode="General" sourceLinked="0"/>
              <c:spPr>
                <a:noFill/>
                <a:ln w="25400">
                  <a:noFill/>
                </a:ln>
              </c:spPr>
            </c:trendlineLbl>
          </c:trendline>
          <c:xVal>
            <c:numRef>
              <c:f>Cavitação!$A$4:$A$14</c:f>
              <c:numCache>
                <c:formatCode>General</c:formatCode>
                <c:ptCount val="11"/>
                <c:pt idx="0">
                  <c:v>0.16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1.5</c:v>
                </c:pt>
              </c:numCache>
            </c:numRef>
          </c:xVal>
          <c:yVal>
            <c:numRef>
              <c:f>Cavitação!$E$4:$E$14</c:f>
              <c:numCache>
                <c:formatCode>General</c:formatCode>
                <c:ptCount val="11"/>
                <c:pt idx="0">
                  <c:v>0.15</c:v>
                </c:pt>
                <c:pt idx="1">
                  <c:v>0.18</c:v>
                </c:pt>
                <c:pt idx="2">
                  <c:v>0.24</c:v>
                </c:pt>
                <c:pt idx="3">
                  <c:v>0.3</c:v>
                </c:pt>
                <c:pt idx="4">
                  <c:v>0.39</c:v>
                </c:pt>
                <c:pt idx="5">
                  <c:v>0.43</c:v>
                </c:pt>
                <c:pt idx="6">
                  <c:v>0.47</c:v>
                </c:pt>
                <c:pt idx="7">
                  <c:v>0.48</c:v>
                </c:pt>
                <c:pt idx="8">
                  <c:v>0.52</c:v>
                </c:pt>
                <c:pt idx="9">
                  <c:v>0.55000000000000004</c:v>
                </c:pt>
                <c:pt idx="10">
                  <c:v>0.57999999999999996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F27-4C2F-994F-DA296762B2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776000"/>
        <c:axId val="97777920"/>
      </c:scatterChart>
      <c:valAx>
        <c:axId val="97776000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pt-BR"/>
                  <a:t>Número de cavitação</a:t>
                </a:r>
              </a:p>
            </c:rich>
          </c:tx>
          <c:layout>
            <c:manualLayout>
              <c:xMode val="edge"/>
              <c:yMode val="edge"/>
              <c:x val="0.76214833759590817"/>
              <c:y val="0.8498854849495313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97777920"/>
        <c:crosses val="autoZero"/>
        <c:crossBetween val="midCat"/>
      </c:valAx>
      <c:valAx>
        <c:axId val="97777920"/>
        <c:scaling>
          <c:logBase val="10"/>
          <c:orientation val="minMax"/>
          <c:max val="1"/>
          <c:min val="1.0000000000000004E-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pt-BR"/>
                  <a:t>Fator</a:t>
                </a:r>
              </a:p>
            </c:rich>
          </c:tx>
          <c:layout>
            <c:manualLayout>
              <c:xMode val="edge"/>
              <c:yMode val="edge"/>
              <c:x val="2.3017902813299244E-2"/>
              <c:y val="0.4642037567251513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9777600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4782608695652173"/>
          <c:y val="0.34642071397399388"/>
          <c:w val="0.11381074168797957"/>
          <c:h val="0.3533491282534736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>
      <c:oddHeader>&amp;A</c:oddHeader>
      <c:oddFooter>Página &amp;P</c:oddFooter>
    </c:headerFooter>
    <c:pageMargins b="0.98425196899999978" l="0.78740157499999996" r="0.78740157499999996" t="0.98425196899999978" header="0.49212598500000021" footer="0.49212598500000021"/>
    <c:pageSetup orientation="landscape" horizontalDpi="120" verticalDpi="144" copies="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62833</xdr:colOff>
      <xdr:row>0</xdr:row>
      <xdr:rowOff>0</xdr:rowOff>
    </xdr:from>
    <xdr:to>
      <xdr:col>35</xdr:col>
      <xdr:colOff>269512</xdr:colOff>
      <xdr:row>50</xdr:row>
      <xdr:rowOff>122386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3B2558C-5690-4ADD-B047-E40F7E4996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66675</xdr:colOff>
      <xdr:row>0</xdr:row>
      <xdr:rowOff>0</xdr:rowOff>
    </xdr:from>
    <xdr:to>
      <xdr:col>15</xdr:col>
      <xdr:colOff>219075</xdr:colOff>
      <xdr:row>25</xdr:row>
      <xdr:rowOff>76200</xdr:rowOff>
    </xdr:to>
    <xdr:graphicFrame macro="">
      <xdr:nvGraphicFramePr>
        <xdr:cNvPr id="1031" name="Chart 7">
          <a:extLst>
            <a:ext uri="{FF2B5EF4-FFF2-40B4-BE49-F238E27FC236}">
              <a16:creationId xmlns:a16="http://schemas.microsoft.com/office/drawing/2014/main" id="{00000000-0008-0000-0200-000007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8B1EF96-1723-4FA5-9C43-28CF566E1694}" name="Tabela1" displayName="Tabela1" ref="A3:J91" totalsRowShown="0" headerRowDxfId="12" dataDxfId="10" headerRowBorderDxfId="11">
  <autoFilter ref="A3:J91" xr:uid="{10F1B115-B7BC-4205-81CB-14069DD1AFED}"/>
  <tableColumns count="10">
    <tableColumn id="5" xr3:uid="{18F7279A-21F4-4DA8-A2B9-3A36EC61B99A}" name="% TPB" dataDxfId="9"/>
    <tableColumn id="6" xr3:uid="{C662EC9D-9FA8-4611-BF11-59052F5DFB08}" name="Deslocamento" dataDxfId="8">
      <calculatedColumnFormula array="1">SUM(Deslocamento_leve,TPB*Tabela1[[#This Row],[% TPB]])</calculatedColumnFormula>
    </tableColumn>
    <tableColumn id="10" xr3:uid="{1920531A-04BE-45D4-912D-035D0CAEDEA3}" name="Calado" dataDxfId="7"/>
    <tableColumn id="1" xr3:uid="{7867D9CD-6CE8-491E-B96C-859E63ABB30F}" name="Velocidade (nós)" dataDxfId="6"/>
    <tableColumn id="9" xr3:uid="{163E1AAE-5A89-4A43-A0B8-947305393719}" name="Resitência ao avanço (kN)" dataDxfId="5"/>
    <tableColumn id="2" xr3:uid="{932304D8-F4A6-4707-93F9-386D025D035D}" name="EHP" dataDxfId="4">
      <calculatedColumnFormula>PRODUCT(Tabela1[[#This Row],[Resitência ao avanço (kN)]],1.15,Tabela1[[#This Row],[Velocidade (nós)]],0.514)</calculatedColumnFormula>
    </tableColumn>
    <tableColumn id="3" xr3:uid="{D9E5AC78-89C7-4B4B-A065-80C09C87A322}" name="BHP" dataDxfId="3">
      <calculatedColumnFormula>Tabela1[[#This Row],[EHP]]/0.55</calculatedColumnFormula>
    </tableColumn>
    <tableColumn id="4" xr3:uid="{2B202E4E-BBDA-4362-91D2-9FDEA05D13F2}" name="IHP" dataDxfId="2">
      <calculatedColumnFormula>PRODUCT(Tabela1[[#This Row],[BHP]],1.2)</calculatedColumnFormula>
    </tableColumn>
    <tableColumn id="7" xr3:uid="{044130D3-DDA6-448A-914D-7C448F45B886}" name="Viagens Redondas (30 dias)" dataDxfId="1"/>
    <tableColumn id="8" xr3:uid="{545AF04A-A236-4113-985D-D68E309AEC31}" name="Viagens por ano (365 dias)" dataDxfId="0">
      <calculatedColumnFormula>ROUNDDOWN(PRODUCT(Tabela1[[#This Row],[Viagens Redondas (30 dias)]],365/30),2)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Q141"/>
  <sheetViews>
    <sheetView showGridLines="0" tabSelected="1" zoomScale="90" workbookViewId="0">
      <selection activeCell="D28" sqref="D28"/>
    </sheetView>
  </sheetViews>
  <sheetFormatPr defaultColWidth="11.42578125" defaultRowHeight="12" x14ac:dyDescent="0.2"/>
  <cols>
    <col min="1" max="1" width="8.7109375" style="9" customWidth="1"/>
    <col min="2" max="2" width="20" style="9" customWidth="1"/>
    <col min="3" max="3" width="32.85546875" style="9" customWidth="1"/>
    <col min="4" max="4" width="24.42578125" style="9" customWidth="1"/>
    <col min="5" max="5" width="14.42578125" style="9" customWidth="1"/>
    <col min="6" max="6" width="17" style="26" customWidth="1"/>
    <col min="7" max="11" width="8.7109375" style="9" customWidth="1"/>
    <col min="12" max="12" width="14.85546875" style="26" customWidth="1"/>
    <col min="13" max="13" width="11.42578125" style="9"/>
    <col min="14" max="14" width="13.5703125" style="9" bestFit="1" customWidth="1"/>
    <col min="15" max="16384" width="11.42578125" style="9"/>
  </cols>
  <sheetData>
    <row r="1" spans="1:16" ht="12.75" x14ac:dyDescent="0.2">
      <c r="A1" s="5" t="s">
        <v>0</v>
      </c>
      <c r="B1" s="6"/>
      <c r="C1" s="6"/>
      <c r="D1" s="6"/>
      <c r="E1" s="6"/>
      <c r="F1" s="7"/>
      <c r="G1" s="6"/>
      <c r="H1" s="6"/>
      <c r="I1" s="6"/>
      <c r="J1" s="6"/>
      <c r="K1" s="6"/>
      <c r="L1" s="8"/>
      <c r="M1"/>
      <c r="N1"/>
      <c r="O1"/>
      <c r="P1"/>
    </row>
    <row r="2" spans="1:16" ht="13.5" thickBot="1" x14ac:dyDescent="0.25">
      <c r="A2" s="10" t="s">
        <v>1</v>
      </c>
      <c r="B2" s="11"/>
      <c r="C2" s="11"/>
      <c r="D2" s="11"/>
      <c r="E2" s="11"/>
      <c r="F2" s="239" t="s">
        <v>2</v>
      </c>
      <c r="G2" s="11"/>
      <c r="H2" s="11"/>
      <c r="I2" s="11"/>
      <c r="J2" s="11"/>
      <c r="K2" s="12"/>
      <c r="L2" s="13"/>
      <c r="M2"/>
      <c r="N2"/>
      <c r="O2"/>
      <c r="P2"/>
    </row>
    <row r="3" spans="1:16" ht="12.75" x14ac:dyDescent="0.2">
      <c r="A3" s="14" t="s">
        <v>3</v>
      </c>
      <c r="C3" s="14" t="s">
        <v>4</v>
      </c>
      <c r="F3" s="15"/>
      <c r="G3" s="14"/>
      <c r="H3" s="14"/>
      <c r="I3" s="14"/>
      <c r="J3" s="14"/>
      <c r="K3" s="16"/>
      <c r="L3" s="17"/>
      <c r="M3"/>
      <c r="N3"/>
      <c r="O3"/>
      <c r="P3"/>
    </row>
    <row r="4" spans="1:16" ht="12.75" x14ac:dyDescent="0.2">
      <c r="A4" s="18"/>
      <c r="C4" s="14" t="s">
        <v>5</v>
      </c>
      <c r="F4" s="15"/>
      <c r="G4" s="14"/>
      <c r="H4" s="14"/>
      <c r="I4" s="14"/>
      <c r="J4" s="14"/>
      <c r="K4" s="16"/>
      <c r="L4" s="17"/>
      <c r="M4"/>
      <c r="N4"/>
      <c r="O4"/>
      <c r="P4"/>
    </row>
    <row r="5" spans="1:16" ht="13.5" thickBot="1" x14ac:dyDescent="0.25">
      <c r="A5" s="18" t="s">
        <v>6</v>
      </c>
      <c r="B5" s="246" t="s">
        <v>7</v>
      </c>
      <c r="C5" s="14"/>
      <c r="D5" s="247"/>
      <c r="E5" s="14"/>
      <c r="F5" s="15"/>
      <c r="G5" s="14"/>
      <c r="H5" s="14"/>
      <c r="I5" s="14"/>
      <c r="J5" s="14"/>
      <c r="K5" s="16"/>
      <c r="L5" s="17"/>
      <c r="M5"/>
      <c r="N5"/>
      <c r="O5"/>
      <c r="P5"/>
    </row>
    <row r="6" spans="1:16" ht="12.75" x14ac:dyDescent="0.2">
      <c r="A6" s="19" t="s">
        <v>8</v>
      </c>
      <c r="B6" s="20"/>
      <c r="C6" s="20"/>
      <c r="D6" s="22"/>
      <c r="E6" s="19" t="s">
        <v>9</v>
      </c>
      <c r="F6" s="21"/>
      <c r="G6" s="22"/>
      <c r="H6" s="234"/>
      <c r="I6" s="19" t="s">
        <v>10</v>
      </c>
      <c r="J6" s="21"/>
      <c r="K6" s="21"/>
      <c r="L6" s="234"/>
      <c r="M6"/>
      <c r="N6"/>
      <c r="O6"/>
      <c r="P6"/>
    </row>
    <row r="7" spans="1:16" ht="12.75" x14ac:dyDescent="0.2">
      <c r="A7" s="215"/>
      <c r="B7" s="216"/>
      <c r="C7" s="216"/>
      <c r="D7" s="217"/>
      <c r="E7" s="23" t="s">
        <v>11</v>
      </c>
      <c r="F7" s="24"/>
      <c r="G7" s="107"/>
      <c r="H7" s="383">
        <v>2</v>
      </c>
      <c r="I7" s="23" t="s">
        <v>12</v>
      </c>
      <c r="J7" s="24"/>
      <c r="K7" s="24"/>
      <c r="L7" s="274">
        <f>SérieB!H8</f>
        <v>7.969284900640812E-2</v>
      </c>
      <c r="M7"/>
      <c r="N7"/>
      <c r="O7"/>
      <c r="P7"/>
    </row>
    <row r="8" spans="1:16" ht="12.75" x14ac:dyDescent="0.2">
      <c r="A8" s="23" t="s">
        <v>13</v>
      </c>
      <c r="B8" s="24"/>
      <c r="C8" s="24"/>
      <c r="D8" s="300">
        <v>59</v>
      </c>
      <c r="E8" s="23" t="s">
        <v>14</v>
      </c>
      <c r="F8" s="24"/>
      <c r="G8" s="107"/>
      <c r="H8" s="384">
        <v>4</v>
      </c>
      <c r="I8" s="23" t="s">
        <v>15</v>
      </c>
      <c r="J8"/>
      <c r="K8" s="24"/>
      <c r="L8" s="275">
        <f>SérieB!H9</f>
        <v>1.6990529893822687E-2</v>
      </c>
      <c r="M8"/>
      <c r="N8"/>
      <c r="O8"/>
      <c r="P8"/>
    </row>
    <row r="9" spans="1:16" ht="12.75" x14ac:dyDescent="0.2">
      <c r="A9" s="23" t="s">
        <v>16</v>
      </c>
      <c r="B9" s="24"/>
      <c r="C9" s="24"/>
      <c r="D9" s="301">
        <v>60</v>
      </c>
      <c r="E9" s="23" t="s">
        <v>17</v>
      </c>
      <c r="F9" s="24"/>
      <c r="G9" s="107"/>
      <c r="H9" s="385">
        <v>3.75</v>
      </c>
      <c r="I9" t="s">
        <v>18</v>
      </c>
      <c r="J9"/>
      <c r="K9" s="24"/>
      <c r="L9" s="252">
        <f>SérieB!B5</f>
        <v>0.88790621610762044</v>
      </c>
      <c r="M9"/>
      <c r="N9"/>
      <c r="O9"/>
      <c r="P9"/>
    </row>
    <row r="10" spans="1:16" ht="12.75" x14ac:dyDescent="0.2">
      <c r="A10" s="23" t="s">
        <v>19</v>
      </c>
      <c r="B10" s="24"/>
      <c r="C10" s="24"/>
      <c r="D10" s="300">
        <v>12</v>
      </c>
      <c r="E10" s="23" t="s">
        <v>20</v>
      </c>
      <c r="F10" s="29"/>
      <c r="G10" s="374">
        <f>SérieB!E5</f>
        <v>0.4</v>
      </c>
      <c r="H10" s="384">
        <v>100</v>
      </c>
      <c r="I10" t="s">
        <v>21</v>
      </c>
      <c r="J10"/>
      <c r="K10" s="29"/>
      <c r="L10" s="253">
        <f>B88</f>
        <v>2.9596873870254017</v>
      </c>
      <c r="M10"/>
      <c r="N10"/>
      <c r="O10"/>
      <c r="P10"/>
    </row>
    <row r="11" spans="1:16" ht="12.75" x14ac:dyDescent="0.2">
      <c r="A11" s="23" t="s">
        <v>22</v>
      </c>
      <c r="B11" s="24"/>
      <c r="C11" s="24"/>
      <c r="D11" s="302">
        <v>1.885</v>
      </c>
      <c r="E11" s="23" t="s">
        <v>23</v>
      </c>
      <c r="F11" s="29"/>
      <c r="G11" s="374">
        <f>SérieB!F5</f>
        <v>1</v>
      </c>
      <c r="H11" s="386">
        <v>0.4</v>
      </c>
      <c r="I11" s="23" t="s">
        <v>24</v>
      </c>
      <c r="J11" s="29"/>
      <c r="K11" s="29"/>
      <c r="L11" s="255">
        <f>SérieB!F9</f>
        <v>1.5102693238953502</v>
      </c>
      <c r="M11"/>
      <c r="N11"/>
      <c r="O11"/>
      <c r="P11"/>
    </row>
    <row r="12" spans="1:16" ht="13.5" thickBot="1" x14ac:dyDescent="0.25">
      <c r="A12" s="23" t="s">
        <v>25</v>
      </c>
      <c r="B12" s="24"/>
      <c r="C12" s="24"/>
      <c r="D12" s="303">
        <v>1.885</v>
      </c>
      <c r="E12" s="43" t="s">
        <v>26</v>
      </c>
      <c r="F12" s="243"/>
      <c r="G12" s="31"/>
      <c r="H12" s="387">
        <v>0.95</v>
      </c>
      <c r="I12" s="23" t="s">
        <v>27</v>
      </c>
      <c r="J12" s="29"/>
      <c r="K12" s="29"/>
      <c r="L12" s="254">
        <f>H25-H24</f>
        <v>-144.69076664878236</v>
      </c>
      <c r="M12"/>
      <c r="N12"/>
      <c r="O12"/>
      <c r="P12"/>
    </row>
    <row r="13" spans="1:16" ht="13.5" thickBot="1" x14ac:dyDescent="0.25">
      <c r="A13" s="23" t="s">
        <v>28</v>
      </c>
      <c r="B13" s="24"/>
      <c r="C13" s="24"/>
      <c r="D13" s="373">
        <v>997.5</v>
      </c>
      <c r="E13" s="248"/>
      <c r="F13" s="249"/>
      <c r="G13" s="249"/>
      <c r="H13" s="249"/>
      <c r="I13" s="251" t="s">
        <v>29</v>
      </c>
      <c r="J13" s="249"/>
      <c r="K13" s="249"/>
      <c r="L13" s="250"/>
      <c r="M13"/>
      <c r="N13"/>
      <c r="O13"/>
      <c r="P13"/>
    </row>
    <row r="14" spans="1:16" ht="12.75" x14ac:dyDescent="0.2">
      <c r="A14" s="23" t="s">
        <v>30</v>
      </c>
      <c r="B14" s="24"/>
      <c r="C14" s="24"/>
      <c r="D14" s="304">
        <v>29.710999999999999</v>
      </c>
      <c r="E14" s="310" t="s">
        <v>31</v>
      </c>
      <c r="F14" s="278"/>
      <c r="G14" s="311"/>
      <c r="H14" s="256"/>
      <c r="I14" s="312"/>
      <c r="J14" s="278"/>
      <c r="K14" s="311"/>
      <c r="L14" s="311"/>
      <c r="M14"/>
      <c r="N14"/>
      <c r="O14"/>
      <c r="P14"/>
    </row>
    <row r="15" spans="1:16" ht="12.75" x14ac:dyDescent="0.2">
      <c r="A15" s="23" t="s">
        <v>32</v>
      </c>
      <c r="B15" s="24"/>
      <c r="C15" s="24"/>
      <c r="D15" s="304">
        <v>0.01</v>
      </c>
      <c r="E15" s="23" t="s">
        <v>33</v>
      </c>
      <c r="F15" s="216"/>
      <c r="G15" s="217"/>
      <c r="H15" s="362">
        <f>B87</f>
        <v>0.49972417159867383</v>
      </c>
      <c r="I15" s="215" t="s">
        <v>34</v>
      </c>
      <c r="J15" s="29"/>
      <c r="K15" s="27"/>
      <c r="L15" s="321">
        <f>H22*H19*H17</f>
        <v>1.086220233171975</v>
      </c>
      <c r="M15"/>
      <c r="N15"/>
      <c r="O15"/>
      <c r="P15"/>
    </row>
    <row r="16" spans="1:16" ht="12.75" x14ac:dyDescent="0.2">
      <c r="A16" s="23" t="s">
        <v>35</v>
      </c>
      <c r="B16" s="24"/>
      <c r="C16" s="24"/>
      <c r="D16" s="304">
        <v>0.01</v>
      </c>
      <c r="E16" s="215" t="s">
        <v>36</v>
      </c>
      <c r="F16" s="216"/>
      <c r="G16" s="217"/>
      <c r="H16" s="317">
        <f>E87</f>
        <v>0.20278944420927583</v>
      </c>
      <c r="I16" s="23" t="s">
        <v>37</v>
      </c>
      <c r="J16" s="29"/>
      <c r="K16" s="27"/>
      <c r="L16" s="313">
        <f>H25*L10*H19*1.3405</f>
        <v>22.393037929950406</v>
      </c>
      <c r="M16"/>
      <c r="N16"/>
      <c r="O16"/>
      <c r="P16"/>
    </row>
    <row r="17" spans="1:16" ht="13.5" x14ac:dyDescent="0.25">
      <c r="A17" s="23" t="s">
        <v>38</v>
      </c>
      <c r="B17" s="24"/>
      <c r="C17" s="24"/>
      <c r="D17" s="305">
        <v>0.88300000000000001</v>
      </c>
      <c r="E17" s="23" t="s">
        <v>39</v>
      </c>
      <c r="F17" s="216"/>
      <c r="G17" s="217"/>
      <c r="H17" s="317">
        <f>H87</f>
        <v>1.0283825766388477</v>
      </c>
      <c r="I17" s="23" t="s">
        <v>40</v>
      </c>
      <c r="J17" s="29"/>
      <c r="K17" s="27"/>
      <c r="L17" s="313">
        <f>L16/H22</f>
        <v>33.784178128998576</v>
      </c>
      <c r="M17"/>
      <c r="N17"/>
      <c r="O17"/>
      <c r="P17"/>
    </row>
    <row r="18" spans="1:16" ht="12.75" x14ac:dyDescent="0.2">
      <c r="A18" s="23" t="s">
        <v>41</v>
      </c>
      <c r="B18" s="24"/>
      <c r="C18" s="24"/>
      <c r="D18" s="305">
        <v>0.97</v>
      </c>
      <c r="E18" s="23" t="s">
        <v>42</v>
      </c>
      <c r="F18" s="29"/>
      <c r="G18" s="27"/>
      <c r="H18" s="318">
        <f>K84*B63*1.341</f>
        <v>937.52331022033468</v>
      </c>
      <c r="I18" s="23" t="s">
        <v>43</v>
      </c>
      <c r="J18" s="29"/>
      <c r="K18" s="27"/>
      <c r="L18" s="313">
        <f>L17/H17/D23</f>
        <v>33.183596483196979</v>
      </c>
      <c r="M18"/>
      <c r="N18"/>
      <c r="O18"/>
      <c r="P18"/>
    </row>
    <row r="19" spans="1:16" ht="12.75" x14ac:dyDescent="0.2">
      <c r="A19" s="23" t="s">
        <v>44</v>
      </c>
      <c r="B19" s="24"/>
      <c r="C19" s="24"/>
      <c r="D19" s="304">
        <v>0.94</v>
      </c>
      <c r="E19" s="23" t="s">
        <v>45</v>
      </c>
      <c r="F19" s="29"/>
      <c r="G19" s="27"/>
      <c r="H19" s="320">
        <f>(1-H16)/(1-H15)</f>
        <v>1.5935420232839912</v>
      </c>
      <c r="I19" s="215"/>
      <c r="J19" s="216"/>
      <c r="K19" s="217"/>
      <c r="L19" s="217"/>
      <c r="M19"/>
      <c r="N19"/>
      <c r="O19"/>
      <c r="P19"/>
    </row>
    <row r="20" spans="1:16" ht="12.75" x14ac:dyDescent="0.2">
      <c r="A20" s="23" t="s">
        <v>46</v>
      </c>
      <c r="B20" s="24"/>
      <c r="C20" s="24"/>
      <c r="D20" s="322">
        <f>E52</f>
        <v>0.01</v>
      </c>
      <c r="E20"/>
      <c r="F20"/>
      <c r="G20"/>
      <c r="H20" s="235"/>
      <c r="I20" s="244" t="s">
        <v>47</v>
      </c>
      <c r="J20" s="29"/>
      <c r="K20" s="27"/>
      <c r="L20" s="314"/>
      <c r="M20" s="28"/>
      <c r="N20" s="28"/>
      <c r="O20" s="28"/>
    </row>
    <row r="21" spans="1:16" x14ac:dyDescent="0.2">
      <c r="A21" s="23" t="s">
        <v>48</v>
      </c>
      <c r="B21" s="24"/>
      <c r="C21" s="24"/>
      <c r="D21" s="306">
        <v>0</v>
      </c>
      <c r="E21" s="244" t="s">
        <v>49</v>
      </c>
      <c r="F21" s="29"/>
      <c r="G21" s="27"/>
      <c r="H21" s="236"/>
      <c r="I21" s="23" t="s">
        <v>50</v>
      </c>
      <c r="J21" s="24"/>
      <c r="K21" s="367"/>
      <c r="L21" s="301">
        <v>-3</v>
      </c>
      <c r="M21" s="28"/>
      <c r="N21" s="28"/>
      <c r="O21" s="28"/>
    </row>
    <row r="22" spans="1:16" ht="13.5" x14ac:dyDescent="0.25">
      <c r="A22" s="71" t="s">
        <v>51</v>
      </c>
      <c r="B22" s="24"/>
      <c r="C22" s="24"/>
      <c r="D22" s="307">
        <v>11.5</v>
      </c>
      <c r="E22" s="23" t="s">
        <v>52</v>
      </c>
      <c r="F22" s="216"/>
      <c r="G22" s="217"/>
      <c r="H22" s="242">
        <f>IF(SérieB!F7&lt;0,0.001,IF(SérieB!F7&gt;1,0.001,SérieB!F7))</f>
        <v>0.66282618580942743</v>
      </c>
      <c r="I22" s="23" t="s">
        <v>53</v>
      </c>
      <c r="J22" s="24"/>
      <c r="K22" s="107"/>
      <c r="L22" s="283">
        <v>15</v>
      </c>
      <c r="M22" s="28"/>
      <c r="N22" s="28"/>
      <c r="O22" s="28"/>
    </row>
    <row r="23" spans="1:16" ht="13.5" thickBot="1" x14ac:dyDescent="0.25">
      <c r="A23" s="71" t="s">
        <v>54</v>
      </c>
      <c r="B23" s="24"/>
      <c r="C23" s="24"/>
      <c r="D23" s="372">
        <f>IF(L29&gt;3,0.98,0.99)</f>
        <v>0.99</v>
      </c>
      <c r="E23" s="215" t="s">
        <v>55</v>
      </c>
      <c r="F23" s="29"/>
      <c r="G23" s="27"/>
      <c r="H23" s="235"/>
      <c r="I23" s="23" t="s">
        <v>56</v>
      </c>
      <c r="J23" s="29"/>
      <c r="K23" s="107"/>
      <c r="L23" s="283">
        <v>10</v>
      </c>
      <c r="M23" s="28"/>
      <c r="N23" s="28"/>
      <c r="O23" s="28"/>
    </row>
    <row r="24" spans="1:16" ht="12.75" x14ac:dyDescent="0.2">
      <c r="A24" s="375" t="s">
        <v>57</v>
      </c>
      <c r="B24" s="278"/>
      <c r="C24" s="278"/>
      <c r="D24" s="376">
        <v>1</v>
      </c>
      <c r="E24" s="23"/>
      <c r="F24" s="245" t="s">
        <v>58</v>
      </c>
      <c r="G24" s="27"/>
      <c r="H24" s="240">
        <f>ftt</f>
        <v>148.23267104906716</v>
      </c>
      <c r="I24" s="215" t="s">
        <v>59</v>
      </c>
      <c r="J24" s="216"/>
      <c r="K24" s="107"/>
      <c r="L24" s="315">
        <f>L18*(1+L22/100)*(1+L23/100)</f>
        <v>41.977249551244178</v>
      </c>
      <c r="M24" s="28"/>
      <c r="N24" s="28"/>
      <c r="O24" s="28"/>
    </row>
    <row r="25" spans="1:16" ht="12.75" x14ac:dyDescent="0.2">
      <c r="A25" s="377" t="s">
        <v>60</v>
      </c>
      <c r="B25" s="216"/>
      <c r="C25" s="216"/>
      <c r="D25" s="378">
        <v>1</v>
      </c>
      <c r="E25" s="23"/>
      <c r="F25" s="245" t="s">
        <v>61</v>
      </c>
      <c r="G25" s="27"/>
      <c r="H25" s="240">
        <f>SérieB!F8*$D25</f>
        <v>3.5419044002848059</v>
      </c>
      <c r="I25" s="23" t="s">
        <v>62</v>
      </c>
      <c r="J25" s="276"/>
      <c r="K25" s="107"/>
      <c r="L25" s="325">
        <f>H10*(1+L21/100)*(1+L22/100)^(1/3)*(1+L23/100)^(1/3)</f>
        <v>104.90638201231441</v>
      </c>
      <c r="M25" s="28"/>
      <c r="N25" s="28"/>
      <c r="O25" s="28"/>
    </row>
    <row r="26" spans="1:16" ht="12.75" thickBot="1" x14ac:dyDescent="0.25">
      <c r="A26" s="308"/>
      <c r="B26" s="30"/>
      <c r="C26" s="30"/>
      <c r="D26" s="309"/>
      <c r="E26" s="390" t="s">
        <v>63</v>
      </c>
      <c r="F26" s="392">
        <v>5</v>
      </c>
      <c r="G26" s="391" t="s">
        <v>64</v>
      </c>
      <c r="H26" s="319" t="str">
        <f>SérieB!H22</f>
        <v>ok</v>
      </c>
      <c r="I26" s="43"/>
      <c r="J26" s="188"/>
      <c r="K26" s="125"/>
      <c r="L26" s="316"/>
      <c r="M26" s="28"/>
      <c r="N26" s="28"/>
      <c r="O26" s="28"/>
    </row>
    <row r="27" spans="1:16" ht="12.75" x14ac:dyDescent="0.2">
      <c r="A27" s="33"/>
      <c r="B27" s="21"/>
      <c r="C27" s="399" t="s">
        <v>249</v>
      </c>
      <c r="D27" s="400">
        <f>PRODUCT(frt,velms)</f>
        <v>699.12252812851204</v>
      </c>
      <c r="E27" s="278"/>
      <c r="F27"/>
      <c r="G27"/>
      <c r="H27"/>
      <c r="I27" s="21"/>
      <c r="J27" s="277"/>
      <c r="K27" s="21"/>
      <c r="L27" s="282"/>
      <c r="M27"/>
      <c r="N27" s="28"/>
      <c r="O27" s="28"/>
    </row>
    <row r="28" spans="1:16" ht="12.75" x14ac:dyDescent="0.2">
      <c r="A28" s="215"/>
      <c r="B28" s="216"/>
      <c r="C28" s="356" t="s">
        <v>253</v>
      </c>
      <c r="D28" s="401">
        <f>frt</f>
        <v>118.17265007337042</v>
      </c>
      <c r="E28" s="216"/>
      <c r="F28"/>
      <c r="G28"/>
      <c r="H28"/>
      <c r="I28" s="24"/>
      <c r="J28" s="284"/>
      <c r="K28" s="24"/>
      <c r="L28" s="283"/>
      <c r="M28"/>
      <c r="N28" s="28"/>
      <c r="O28" s="28"/>
    </row>
    <row r="29" spans="1:16" ht="12.75" x14ac:dyDescent="0.2">
      <c r="A29" s="215"/>
      <c r="B29" s="216"/>
      <c r="C29" s="356"/>
      <c r="D29" s="216"/>
      <c r="E29" s="24"/>
      <c r="F29" s="279"/>
      <c r="G29" s="29"/>
      <c r="H29" s="360"/>
      <c r="I29" s="24"/>
      <c r="J29" s="276"/>
      <c r="K29" s="24"/>
      <c r="L29" s="285"/>
      <c r="M29"/>
      <c r="N29" s="28"/>
      <c r="O29" s="28"/>
    </row>
    <row r="30" spans="1:16" ht="12.75" x14ac:dyDescent="0.2">
      <c r="A30" s="215"/>
      <c r="B30" s="216"/>
      <c r="C30" s="356"/>
      <c r="D30" s="216"/>
      <c r="E30" s="24"/>
      <c r="F30" s="280"/>
      <c r="G30" s="29"/>
      <c r="H30" s="358"/>
      <c r="I30" s="24"/>
      <c r="J30" s="339" t="s">
        <v>65</v>
      </c>
      <c r="K30" s="339"/>
      <c r="L30" s="340" t="e">
        <f>L27/L28^3</f>
        <v>#DIV/0!</v>
      </c>
      <c r="M30"/>
      <c r="O30" s="28"/>
    </row>
    <row r="31" spans="1:16" ht="13.5" thickBot="1" x14ac:dyDescent="0.25">
      <c r="A31" s="237"/>
      <c r="B31" s="238"/>
      <c r="C31" s="357"/>
      <c r="D31" s="238"/>
      <c r="E31" s="30"/>
      <c r="F31" s="281"/>
      <c r="G31" s="243"/>
      <c r="H31" s="359"/>
      <c r="I31" s="30"/>
      <c r="J31" s="341" t="s">
        <v>66</v>
      </c>
      <c r="K31" s="341"/>
      <c r="L31" s="342" t="e">
        <f>L18/(H10*L29)^3</f>
        <v>#DIV/0!</v>
      </c>
      <c r="M31"/>
      <c r="O31" s="28"/>
    </row>
    <row r="32" spans="1:16" ht="12.75" x14ac:dyDescent="0.2">
      <c r="A32" s="33"/>
      <c r="B32" s="34"/>
      <c r="C32" s="35"/>
      <c r="D32" s="35"/>
      <c r="E32" s="35"/>
      <c r="F32" s="35"/>
      <c r="G32" s="35"/>
      <c r="H32" s="35"/>
      <c r="I32" s="35"/>
      <c r="J32" s="343" t="s">
        <v>67</v>
      </c>
      <c r="K32" s="343"/>
      <c r="L32" s="344" t="e">
        <f>(L30-L31)*100000000</f>
        <v>#DIV/0!</v>
      </c>
      <c r="M32"/>
    </row>
    <row r="33" spans="1:15" ht="12.75" x14ac:dyDescent="0.2">
      <c r="A33" s="36" t="s">
        <v>68</v>
      </c>
      <c r="B33" s="24"/>
      <c r="C33" s="24"/>
      <c r="D33" s="24"/>
      <c r="E33" s="24"/>
      <c r="F33" s="37"/>
      <c r="G33" s="37"/>
      <c r="H33" s="37"/>
      <c r="I33" s="37"/>
      <c r="J33" s="37"/>
      <c r="K33" s="37"/>
      <c r="L33" s="38"/>
      <c r="M33"/>
    </row>
    <row r="34" spans="1:15" ht="12.75" x14ac:dyDescent="0.2">
      <c r="A34" s="23" t="s">
        <v>69</v>
      </c>
      <c r="B34" s="24"/>
      <c r="C34" s="24"/>
      <c r="D34" s="24"/>
      <c r="E34" s="24"/>
      <c r="F34" s="39"/>
      <c r="G34" s="379">
        <f>0.0000008847</f>
        <v>8.8469999999999997E-7</v>
      </c>
      <c r="H34" s="37"/>
      <c r="I34" s="37" t="s">
        <v>70</v>
      </c>
      <c r="J34" s="42">
        <v>9.4252E-7</v>
      </c>
      <c r="K34" s="37"/>
      <c r="L34" s="38"/>
      <c r="M34"/>
    </row>
    <row r="35" spans="1:15" ht="12.75" x14ac:dyDescent="0.2">
      <c r="A35" s="23" t="s">
        <v>71</v>
      </c>
      <c r="B35" s="24"/>
      <c r="C35" s="24"/>
      <c r="D35" s="24"/>
      <c r="E35" s="24"/>
      <c r="F35" s="39"/>
      <c r="G35" s="380">
        <f>0.85*0.001</f>
        <v>8.4999999999999995E-4</v>
      </c>
      <c r="H35" s="37"/>
      <c r="I35" s="37"/>
      <c r="J35" s="42">
        <v>9.6442000000000003E-3</v>
      </c>
      <c r="K35" s="37"/>
      <c r="L35" s="38"/>
      <c r="M35"/>
    </row>
    <row r="36" spans="1:15" ht="12.75" x14ac:dyDescent="0.2">
      <c r="A36" s="23" t="s">
        <v>72</v>
      </c>
      <c r="B36" s="24"/>
      <c r="C36" s="24"/>
      <c r="D36" s="24"/>
      <c r="E36" s="24"/>
      <c r="F36" s="40"/>
      <c r="G36" s="381">
        <v>1000</v>
      </c>
      <c r="H36" s="37"/>
      <c r="I36" s="37"/>
      <c r="J36" s="42">
        <v>1023.23</v>
      </c>
      <c r="K36" s="37"/>
      <c r="L36" s="38"/>
      <c r="M36"/>
    </row>
    <row r="37" spans="1:15" ht="12.75" x14ac:dyDescent="0.2">
      <c r="A37" s="23" t="s">
        <v>73</v>
      </c>
      <c r="B37" s="24"/>
      <c r="C37" s="24"/>
      <c r="D37" s="24"/>
      <c r="E37" s="24"/>
      <c r="F37" s="41"/>
      <c r="G37" s="382">
        <v>9.8049999999999997</v>
      </c>
      <c r="H37" s="37"/>
      <c r="I37" s="37"/>
      <c r="J37" s="42">
        <v>9.8049999999999997</v>
      </c>
      <c r="K37" s="37"/>
      <c r="L37" s="38"/>
      <c r="M37"/>
    </row>
    <row r="38" spans="1:15" ht="13.5" thickBot="1" x14ac:dyDescent="0.25">
      <c r="A38" s="43"/>
      <c r="B38" s="30"/>
      <c r="C38" s="30"/>
      <c r="D38" s="44"/>
      <c r="E38" s="45"/>
      <c r="F38" s="46"/>
      <c r="G38" s="46"/>
      <c r="H38" s="46"/>
      <c r="I38" s="46"/>
      <c r="J38" s="46"/>
      <c r="K38" s="46"/>
      <c r="L38" s="47"/>
      <c r="M38"/>
    </row>
    <row r="39" spans="1:15" ht="12.75" x14ac:dyDescent="0.2">
      <c r="A39" s="33"/>
      <c r="B39" s="21"/>
      <c r="C39" s="21"/>
      <c r="D39" s="48"/>
      <c r="E39" s="49"/>
      <c r="F39" s="50"/>
      <c r="G39" s="50"/>
      <c r="H39" s="51"/>
      <c r="I39" s="50"/>
      <c r="J39" s="50"/>
      <c r="K39" s="50"/>
      <c r="L39" s="52"/>
      <c r="M39"/>
      <c r="N39" s="60"/>
    </row>
    <row r="40" spans="1:15" ht="12.75" x14ac:dyDescent="0.2">
      <c r="A40" s="53" t="s">
        <v>74</v>
      </c>
      <c r="B40" s="24"/>
      <c r="C40" s="24"/>
      <c r="D40" s="24"/>
      <c r="E40" s="41" t="s">
        <v>75</v>
      </c>
      <c r="F40" s="41" t="s">
        <v>76</v>
      </c>
      <c r="G40" s="41" t="s">
        <v>77</v>
      </c>
      <c r="H40" s="36" t="s">
        <v>78</v>
      </c>
      <c r="I40" s="24"/>
      <c r="J40" s="24"/>
      <c r="K40" s="37"/>
      <c r="L40" s="38"/>
      <c r="M40"/>
      <c r="N40" s="60"/>
    </row>
    <row r="41" spans="1:15" ht="12.75" x14ac:dyDescent="0.2">
      <c r="A41" s="54" t="s">
        <v>79</v>
      </c>
      <c r="B41" s="24"/>
      <c r="C41" s="24"/>
      <c r="D41" s="24"/>
      <c r="E41" s="219">
        <v>0.01</v>
      </c>
      <c r="F41" s="55">
        <v>1.5</v>
      </c>
      <c r="G41" s="55">
        <f t="shared" ref="G41:G51" si="0">SUM(E41*F41)</f>
        <v>1.4999999999999999E-2</v>
      </c>
      <c r="H41" s="56" t="s">
        <v>80</v>
      </c>
      <c r="I41" s="57">
        <f>(D11+D12)/(2*D9)</f>
        <v>3.1416666666666669E-2</v>
      </c>
      <c r="J41" s="24"/>
      <c r="K41" s="58" t="s">
        <v>81</v>
      </c>
      <c r="L41" s="59">
        <f>lwl/boca-2</f>
        <v>3</v>
      </c>
      <c r="M41"/>
      <c r="N41" s="60"/>
      <c r="O41" s="60"/>
    </row>
    <row r="42" spans="1:15" ht="13.5" x14ac:dyDescent="0.25">
      <c r="A42" s="61" t="s">
        <v>82</v>
      </c>
      <c r="B42" s="62"/>
      <c r="C42" s="24"/>
      <c r="D42" s="24"/>
      <c r="E42" s="218">
        <v>0</v>
      </c>
      <c r="F42" s="63">
        <v>1.4</v>
      </c>
      <c r="G42" s="55">
        <f t="shared" si="0"/>
        <v>0</v>
      </c>
      <c r="H42" s="56" t="s">
        <v>83</v>
      </c>
      <c r="I42" s="182">
        <f>D13/(D10*D9*(D11+D12)/2)</f>
        <v>0.73496905393457113</v>
      </c>
      <c r="J42" s="24"/>
      <c r="K42" s="4" t="s">
        <v>84</v>
      </c>
      <c r="L42" s="59">
        <f>IF(hbb&gt;0.6*cal,0.6*cal,hbb)</f>
        <v>0.01</v>
      </c>
      <c r="M42"/>
      <c r="O42" s="60"/>
    </row>
    <row r="43" spans="1:15" ht="12.75" x14ac:dyDescent="0.2">
      <c r="A43" s="54" t="s">
        <v>85</v>
      </c>
      <c r="B43" s="65"/>
      <c r="C43" s="24"/>
      <c r="D43" s="24"/>
      <c r="E43" s="218">
        <v>0</v>
      </c>
      <c r="F43" s="63">
        <v>2.8</v>
      </c>
      <c r="G43" s="55">
        <f t="shared" si="0"/>
        <v>0</v>
      </c>
      <c r="H43" s="56" t="s">
        <v>86</v>
      </c>
      <c r="I43" s="64">
        <f>D13/(D10*D8*(D11+D12)/2)</f>
        <v>0.74742615654363176</v>
      </c>
      <c r="J43" s="24"/>
      <c r="K43" s="58" t="s">
        <v>87</v>
      </c>
      <c r="L43" s="59">
        <f>lwl/lrr</f>
        <v>5.1799749541253055</v>
      </c>
      <c r="M43"/>
      <c r="O43" s="60"/>
    </row>
    <row r="44" spans="1:15" ht="12.75" x14ac:dyDescent="0.2">
      <c r="A44" s="23" t="s">
        <v>88</v>
      </c>
      <c r="B44" s="24"/>
      <c r="C44" s="24"/>
      <c r="D44" s="24"/>
      <c r="E44" s="219">
        <v>0</v>
      </c>
      <c r="F44" s="55">
        <v>3</v>
      </c>
      <c r="G44" s="55">
        <f t="shared" si="0"/>
        <v>0</v>
      </c>
      <c r="H44" s="66" t="s">
        <v>89</v>
      </c>
      <c r="I44" s="64">
        <f>D10/D64</f>
        <v>1.0359949908250612</v>
      </c>
      <c r="J44" s="24"/>
      <c r="K44" s="58" t="s">
        <v>90</v>
      </c>
      <c r="L44" s="38">
        <f>lwl/calar</f>
        <v>31.830238726790451</v>
      </c>
      <c r="M44"/>
    </row>
    <row r="45" spans="1:15" ht="12.75" x14ac:dyDescent="0.2">
      <c r="A45" s="23" t="s">
        <v>91</v>
      </c>
      <c r="B45" s="24"/>
      <c r="C45" s="24"/>
      <c r="D45" s="24"/>
      <c r="E45" s="219">
        <v>0</v>
      </c>
      <c r="F45" s="55">
        <v>1.75</v>
      </c>
      <c r="G45" s="55">
        <f t="shared" si="0"/>
        <v>0</v>
      </c>
      <c r="H45" s="66" t="s">
        <v>92</v>
      </c>
      <c r="I45" s="58">
        <f>(D11+D12)/2</f>
        <v>1.885</v>
      </c>
      <c r="J45" s="24"/>
      <c r="K45" s="37"/>
      <c r="L45" s="38"/>
      <c r="M45"/>
    </row>
    <row r="46" spans="1:15" x14ac:dyDescent="0.2">
      <c r="A46" s="23" t="s">
        <v>93</v>
      </c>
      <c r="B46" s="24"/>
      <c r="C46" s="24"/>
      <c r="D46" s="24"/>
      <c r="E46" s="219">
        <v>0</v>
      </c>
      <c r="F46" s="55">
        <v>1.96</v>
      </c>
      <c r="G46" s="55">
        <f t="shared" si="0"/>
        <v>0</v>
      </c>
      <c r="H46" s="56" t="s">
        <v>94</v>
      </c>
      <c r="I46" s="64">
        <f>D10/D9</f>
        <v>0.2</v>
      </c>
      <c r="J46" s="24"/>
      <c r="K46" s="37"/>
      <c r="L46" s="38"/>
    </row>
    <row r="47" spans="1:15" x14ac:dyDescent="0.2">
      <c r="A47" s="23" t="s">
        <v>95</v>
      </c>
      <c r="B47" s="24"/>
      <c r="C47" s="24"/>
      <c r="D47" s="24"/>
      <c r="E47" s="219">
        <v>0</v>
      </c>
      <c r="F47" s="55">
        <v>2</v>
      </c>
      <c r="G47" s="55">
        <f t="shared" si="0"/>
        <v>0</v>
      </c>
      <c r="H47" s="56" t="s">
        <v>96</v>
      </c>
      <c r="I47" s="64">
        <f>D9/D10</f>
        <v>5</v>
      </c>
      <c r="J47" s="24"/>
      <c r="K47" s="37"/>
      <c r="L47" s="38"/>
    </row>
    <row r="48" spans="1:15" x14ac:dyDescent="0.2">
      <c r="A48" s="23" t="s">
        <v>97</v>
      </c>
      <c r="B48" s="24"/>
      <c r="C48" s="24"/>
      <c r="D48" s="24"/>
      <c r="E48" s="219">
        <v>0</v>
      </c>
      <c r="F48" s="55">
        <v>3</v>
      </c>
      <c r="G48" s="55">
        <f t="shared" si="0"/>
        <v>0</v>
      </c>
      <c r="H48" s="56" t="s">
        <v>98</v>
      </c>
      <c r="I48" s="67">
        <f>D9^3/D13</f>
        <v>216.54135338345864</v>
      </c>
      <c r="J48" s="24"/>
      <c r="K48" s="37"/>
      <c r="L48" s="38"/>
    </row>
    <row r="49" spans="1:14" x14ac:dyDescent="0.2">
      <c r="A49" s="23" t="s">
        <v>99</v>
      </c>
      <c r="B49" s="24"/>
      <c r="C49" s="24"/>
      <c r="D49" s="24"/>
      <c r="E49" s="219">
        <v>0</v>
      </c>
      <c r="F49" s="55">
        <v>2.8</v>
      </c>
      <c r="G49" s="55">
        <f t="shared" si="0"/>
        <v>0</v>
      </c>
      <c r="H49" s="56" t="s">
        <v>100</v>
      </c>
      <c r="I49" s="64">
        <f>D13/D9^3</f>
        <v>4.6180555555555558E-3</v>
      </c>
      <c r="J49" s="24"/>
      <c r="K49" s="37"/>
      <c r="L49" s="38"/>
    </row>
    <row r="50" spans="1:14" x14ac:dyDescent="0.2">
      <c r="A50" s="23" t="s">
        <v>101</v>
      </c>
      <c r="B50" s="24"/>
      <c r="C50" s="24"/>
      <c r="D50" s="24"/>
      <c r="E50" s="219">
        <v>0</v>
      </c>
      <c r="F50" s="55">
        <v>2.7</v>
      </c>
      <c r="G50" s="55">
        <f t="shared" si="0"/>
        <v>0</v>
      </c>
      <c r="H50" s="66" t="s">
        <v>102</v>
      </c>
      <c r="I50" s="64">
        <f>D64/D10</f>
        <v>0.96525563236903789</v>
      </c>
      <c r="J50" s="24"/>
      <c r="K50" s="37"/>
      <c r="L50" s="38"/>
    </row>
    <row r="51" spans="1:14" x14ac:dyDescent="0.2">
      <c r="A51" s="23" t="s">
        <v>103</v>
      </c>
      <c r="B51" s="24"/>
      <c r="C51" s="24"/>
      <c r="D51" s="24"/>
      <c r="E51" s="219">
        <v>0</v>
      </c>
      <c r="F51" s="55">
        <v>1.4</v>
      </c>
      <c r="G51" s="55">
        <f t="shared" si="0"/>
        <v>0</v>
      </c>
      <c r="H51" s="56" t="s">
        <v>104</v>
      </c>
      <c r="I51" s="57">
        <f>(D11+D12)/(2*D10)</f>
        <v>0.15708333333333332</v>
      </c>
      <c r="J51" s="24"/>
      <c r="K51" s="37"/>
      <c r="L51" s="38"/>
    </row>
    <row r="52" spans="1:14" x14ac:dyDescent="0.2">
      <c r="A52" s="23"/>
      <c r="B52" s="24"/>
      <c r="C52" s="24"/>
      <c r="D52" s="68" t="s">
        <v>105</v>
      </c>
      <c r="E52" s="324">
        <f>SUM(E41:E51)</f>
        <v>0.01</v>
      </c>
      <c r="F52" s="58">
        <f>G52/E52</f>
        <v>1.5</v>
      </c>
      <c r="G52" s="58">
        <f>SUM(G41:G51)</f>
        <v>1.4999999999999999E-2</v>
      </c>
      <c r="H52" s="56" t="s">
        <v>106</v>
      </c>
      <c r="I52" s="69">
        <f>D9/I45</f>
        <v>31.830238726790451</v>
      </c>
      <c r="J52" s="24"/>
      <c r="K52" s="37"/>
      <c r="L52" s="38"/>
    </row>
    <row r="53" spans="1:14" x14ac:dyDescent="0.2">
      <c r="A53" s="23"/>
      <c r="B53" s="24"/>
      <c r="C53" s="24"/>
      <c r="D53" s="24"/>
      <c r="E53" s="70"/>
      <c r="F53" s="70"/>
      <c r="G53" s="24"/>
      <c r="H53" s="71" t="s">
        <v>107</v>
      </c>
      <c r="I53" s="64">
        <f>D13^(1/3)/D9</f>
        <v>0.16652766187601756</v>
      </c>
      <c r="J53" s="24"/>
      <c r="K53" s="70"/>
      <c r="L53" s="72"/>
    </row>
    <row r="54" spans="1:14" x14ac:dyDescent="0.2">
      <c r="A54" s="23"/>
      <c r="B54" s="24"/>
      <c r="C54" s="24"/>
      <c r="D54" s="24"/>
      <c r="E54" s="70"/>
      <c r="F54" s="70"/>
      <c r="G54" s="24"/>
      <c r="H54" s="56" t="s">
        <v>108</v>
      </c>
      <c r="I54" s="64">
        <f>D11/D9</f>
        <v>3.1416666666666669E-2</v>
      </c>
      <c r="J54" s="24"/>
      <c r="K54" s="70"/>
      <c r="L54" s="72"/>
    </row>
    <row r="55" spans="1:14" x14ac:dyDescent="0.2">
      <c r="A55" s="36" t="s">
        <v>109</v>
      </c>
      <c r="B55" s="24"/>
      <c r="C55" s="73" t="s">
        <v>110</v>
      </c>
      <c r="D55" s="220">
        <v>0</v>
      </c>
      <c r="E55" s="24"/>
      <c r="F55" s="41"/>
      <c r="G55" s="24"/>
      <c r="H55" s="66" t="s">
        <v>111</v>
      </c>
      <c r="I55" s="58">
        <f>D10/D12</f>
        <v>6.3660477453580899</v>
      </c>
      <c r="J55" s="24"/>
      <c r="K55" s="24"/>
      <c r="L55" s="25"/>
    </row>
    <row r="56" spans="1:14" x14ac:dyDescent="0.2">
      <c r="A56" s="23"/>
      <c r="B56" s="24"/>
      <c r="C56" s="73" t="s">
        <v>112</v>
      </c>
      <c r="D56" s="74">
        <v>7.0000000000000001E-3</v>
      </c>
      <c r="E56" s="75"/>
      <c r="F56" s="75"/>
      <c r="G56" s="24"/>
      <c r="H56" s="66" t="s">
        <v>113</v>
      </c>
      <c r="I56" s="193">
        <f>calar/dprop</f>
        <v>0.9425</v>
      </c>
      <c r="J56" s="24"/>
      <c r="K56" s="75"/>
      <c r="L56" s="25"/>
    </row>
    <row r="57" spans="1:14" ht="12.75" thickBot="1" x14ac:dyDescent="0.25">
      <c r="A57" s="43"/>
      <c r="B57" s="30"/>
      <c r="C57" s="44"/>
      <c r="D57" s="30"/>
      <c r="E57" s="30"/>
      <c r="F57" s="76"/>
      <c r="G57" s="30"/>
      <c r="H57" s="43"/>
      <c r="I57" s="30"/>
      <c r="J57" s="30"/>
      <c r="K57" s="30"/>
      <c r="L57" s="32"/>
      <c r="M57" s="86"/>
    </row>
    <row r="58" spans="1:14" x14ac:dyDescent="0.2">
      <c r="A58" s="5"/>
      <c r="B58" s="6"/>
      <c r="C58" s="6"/>
      <c r="D58" s="6"/>
      <c r="E58" s="6"/>
      <c r="F58" s="7"/>
      <c r="G58" s="6"/>
      <c r="H58" s="6"/>
      <c r="I58" s="6"/>
      <c r="J58" s="6"/>
      <c r="K58" s="77"/>
      <c r="L58" s="8"/>
      <c r="M58" s="86"/>
    </row>
    <row r="59" spans="1:14" ht="12.75" thickBot="1" x14ac:dyDescent="0.25">
      <c r="A59" s="10"/>
      <c r="B59" s="12"/>
      <c r="C59" s="12"/>
      <c r="D59" s="12"/>
      <c r="E59" s="12"/>
      <c r="F59" s="78" t="s">
        <v>114</v>
      </c>
      <c r="G59" s="12"/>
      <c r="H59" s="12"/>
      <c r="I59" s="12"/>
      <c r="J59" s="12"/>
      <c r="K59" s="12"/>
      <c r="L59" s="13"/>
      <c r="M59" s="86"/>
    </row>
    <row r="60" spans="1:14" x14ac:dyDescent="0.2">
      <c r="A60" s="23"/>
      <c r="B60" s="24"/>
      <c r="C60" s="24"/>
      <c r="D60" s="24"/>
      <c r="E60" s="24"/>
      <c r="F60" s="79"/>
      <c r="G60" s="24"/>
      <c r="H60" s="24"/>
      <c r="I60" s="24"/>
      <c r="J60" s="24"/>
      <c r="K60" s="24"/>
      <c r="L60" s="25"/>
      <c r="M60" s="89"/>
      <c r="N60" s="86"/>
    </row>
    <row r="61" spans="1:14" ht="12.75" thickBot="1" x14ac:dyDescent="0.25">
      <c r="A61" s="189" t="s">
        <v>115</v>
      </c>
      <c r="B61" s="190"/>
      <c r="C61" s="190"/>
      <c r="D61" s="190"/>
      <c r="E61" s="24"/>
      <c r="F61" s="41"/>
      <c r="G61" s="24"/>
      <c r="H61" s="24"/>
      <c r="I61" s="24"/>
      <c r="J61" s="24"/>
      <c r="K61" s="24"/>
      <c r="L61" s="25"/>
      <c r="M61" s="89"/>
      <c r="N61" s="86"/>
    </row>
    <row r="62" spans="1:14" x14ac:dyDescent="0.2">
      <c r="A62" s="80"/>
      <c r="B62" s="81"/>
      <c r="C62" s="82"/>
      <c r="D62" s="83"/>
      <c r="E62" s="84"/>
      <c r="F62" s="84"/>
      <c r="G62" s="82"/>
      <c r="H62" s="83"/>
      <c r="I62" s="84"/>
      <c r="J62" s="84"/>
      <c r="K62" s="82"/>
      <c r="L62" s="85"/>
      <c r="M62" s="89"/>
      <c r="N62" s="86"/>
    </row>
    <row r="63" spans="1:14" x14ac:dyDescent="0.2">
      <c r="A63" s="176" t="s">
        <v>116</v>
      </c>
      <c r="B63" s="365">
        <f>veloc*1852/3600</f>
        <v>5.9161111111111113</v>
      </c>
      <c r="C63" s="177" t="s">
        <v>117</v>
      </c>
      <c r="D63" s="261">
        <f>desloc/(csm*boca*(cal+calar)/2*lwl)</f>
        <v>0.83235453446723806</v>
      </c>
      <c r="E63" s="178" t="s">
        <v>118</v>
      </c>
      <c r="F63" s="57">
        <f>6919.3*csm^(-1.3346)*volsl3^2.0097*lsbm2^1.40692</f>
        <v>0.77574324335057432</v>
      </c>
      <c r="G63" s="180" t="s">
        <v>119</v>
      </c>
      <c r="H63" s="263">
        <f>IF($I46&gt;0.25,0.5-0.0625*$I47,IF($I46&gt;0.11,$I46,0.229577*$I46^0.33333))</f>
        <v>0.2</v>
      </c>
      <c r="I63" s="179" t="s">
        <v>120</v>
      </c>
      <c r="J63" s="266">
        <f>EXP(-1.89*SQRT(_ccc3))</f>
        <v>0.99321156299342095</v>
      </c>
      <c r="K63" s="181" t="s">
        <v>121</v>
      </c>
      <c r="L63" s="261">
        <f>IF(I48&lt;512,-1.69385,IF(I48&gt;1726,91,(-1.69385+(I53^(-1)-8)/2.36)))</f>
        <v>-1.6938500000000001</v>
      </c>
      <c r="M63" s="89"/>
      <c r="N63" s="89"/>
    </row>
    <row r="64" spans="1:14" x14ac:dyDescent="0.2">
      <c r="A64" s="176" t="s">
        <v>122</v>
      </c>
      <c r="B64" s="258">
        <f>veloc</f>
        <v>11.5</v>
      </c>
      <c r="C64" s="177" t="s">
        <v>123</v>
      </c>
      <c r="D64" s="262">
        <f>(1-cpp+0.06*cpp*lcb/(4*cpp-1))*lwl</f>
        <v>11.583067588428454</v>
      </c>
      <c r="E64" s="178" t="s">
        <v>124</v>
      </c>
      <c r="F64" s="57">
        <f>-7.2035*bsl^0.326869*tsb^0.605375</f>
        <v>-1.3881269903163247</v>
      </c>
      <c r="G64" s="181" t="s">
        <v>125</v>
      </c>
      <c r="H64" s="263">
        <f>1+89*EXP(-(I47^0.80856)*(1-D18)^0.30484*(1-D63-0.0225*D65)^0.6367*I50^0.34574*(100*I49)^0.16302)</f>
        <v>65.909768909628099</v>
      </c>
      <c r="I64" s="179" t="s">
        <v>126</v>
      </c>
      <c r="J64" s="57">
        <f>1-(0.8*atrs/(boca*tcm*csm))</f>
        <v>0.96235003850109091</v>
      </c>
      <c r="K64" s="183" t="s">
        <v>127</v>
      </c>
      <c r="L64" s="262">
        <f>IF(I47&gt;12,(1.446*D63-0.36),(1.446*D63-0.03*I47))</f>
        <v>1.0535846568396263</v>
      </c>
      <c r="M64" s="89"/>
      <c r="N64" s="89"/>
    </row>
    <row r="65" spans="1:14" s="90" customFormat="1" x14ac:dyDescent="0.2">
      <c r="A65" s="177" t="s">
        <v>128</v>
      </c>
      <c r="B65" s="259">
        <f>velms/SQRT(grav*lwl)</f>
        <v>0.24391409513368115</v>
      </c>
      <c r="C65" s="177" t="s">
        <v>129</v>
      </c>
      <c r="D65" s="286">
        <f>((D14+D9-D8)-D9/2)/D9*100</f>
        <v>1.1849999999999976</v>
      </c>
      <c r="E65" s="178" t="s">
        <v>130</v>
      </c>
      <c r="F65" s="265">
        <f>D9*(2*I45+D10)*SQRT(D17)*(0.453+0.4425*I42-0.2862*D17-0.003467*D10/I45+0.3696*D18)+2.38*D15/I42</f>
        <v>766.41461781060775</v>
      </c>
      <c r="G65" s="181" t="s">
        <v>131</v>
      </c>
      <c r="H65" s="263">
        <f>2223105*H63^3.78613*I51^1.07961*(90-H64)^(-1.37565)</f>
        <v>8.5462024072541549</v>
      </c>
      <c r="I65" s="179" t="s">
        <v>132</v>
      </c>
      <c r="J65" s="266">
        <f>IF(D63&lt;0.8,(8.07981*D63-13.8673*D63^2+6.984388*D63^3),(1.73014-0.7067*D63))</f>
        <v>1.141915050492003</v>
      </c>
      <c r="K65" s="181" t="s">
        <v>133</v>
      </c>
      <c r="L65" s="263">
        <f>0.56*SQRT(D15)/(D11-1.5*D16)</f>
        <v>2.9946524064171125E-2</v>
      </c>
      <c r="M65" s="89"/>
      <c r="N65" s="89"/>
    </row>
    <row r="66" spans="1:14" s="90" customFormat="1" x14ac:dyDescent="0.2">
      <c r="A66" s="177" t="s">
        <v>134</v>
      </c>
      <c r="B66" s="260">
        <f>velms*lwl/mii</f>
        <v>401228288.30865461</v>
      </c>
      <c r="C66" s="177" t="s">
        <v>135</v>
      </c>
      <c r="D66" s="262">
        <f>IF(I41&gt;0.05,I41^0.2228446,IF(I41&lt;0.02,0.479948,48.2*(I41-0.02)^2.078+0.479948))</f>
        <v>0.4843801428300617</v>
      </c>
      <c r="E66" s="179" t="s">
        <v>136</v>
      </c>
      <c r="F66" s="266">
        <f>_kk2</f>
        <v>1.5</v>
      </c>
      <c r="G66" s="181" t="s">
        <v>137</v>
      </c>
      <c r="H66" s="263">
        <f>0.56*atr^1.5/(boca*tcm*(0.31*SQRT(atr)+cal-_hbb1))</f>
        <v>1.2988904692056268E-5</v>
      </c>
      <c r="I66" s="178" t="s">
        <v>138</v>
      </c>
      <c r="J66" s="266">
        <f>0.0140407*I52-1.75254*I53-4.79323*I46-_ccc16</f>
        <v>-1.9454886061449523</v>
      </c>
      <c r="K66" s="181" t="s">
        <v>139</v>
      </c>
      <c r="L66" s="263">
        <f>IF($I54&lt;=0.04,$I54,0.04)</f>
        <v>3.1416666666666669E-2</v>
      </c>
      <c r="M66" s="89"/>
      <c r="N66" s="89"/>
    </row>
    <row r="67" spans="1:14" s="90" customFormat="1" x14ac:dyDescent="0.2">
      <c r="A67" s="177" t="s">
        <v>140</v>
      </c>
      <c r="B67" s="174">
        <f>I42</f>
        <v>0.73496905393457113</v>
      </c>
      <c r="C67" s="177" t="s">
        <v>141</v>
      </c>
      <c r="D67" s="263">
        <f>1+0.011*cstern</f>
        <v>1</v>
      </c>
      <c r="E67" s="179" t="s">
        <v>131</v>
      </c>
      <c r="F67" s="266">
        <f>2223105*_ccc7^3.78613*tsb^1.07961*(90-iie)^(-1.37565)</f>
        <v>8.5462024072541549</v>
      </c>
      <c r="G67" s="177" t="s">
        <v>142</v>
      </c>
      <c r="H67" s="263">
        <f>_ccc15*0.4*EXP(-0.034*fnn^(-3.29))</f>
        <v>-1.9904548571461719E-2</v>
      </c>
      <c r="I67" s="179" t="s">
        <v>143</v>
      </c>
      <c r="J67" s="266">
        <f>-0.9</f>
        <v>-0.9</v>
      </c>
      <c r="K67" s="177" t="s">
        <v>144</v>
      </c>
      <c r="L67" s="272">
        <f>IF(tasd&lt;2,tasd,0.0833333*tasd^3+1.33333)</f>
        <v>0.9425</v>
      </c>
      <c r="M67" s="89"/>
      <c r="N67" s="89"/>
    </row>
    <row r="68" spans="1:14" s="90" customFormat="1" x14ac:dyDescent="0.2">
      <c r="A68" s="177"/>
      <c r="B68" s="171"/>
      <c r="C68" s="177" t="s">
        <v>119</v>
      </c>
      <c r="D68" s="262">
        <f>IF(bsl&lt;0.11,0.229577*bsl^0.33333,IF(bsl&gt;0.25,0.5-0.0625*bsl,bsl))</f>
        <v>0.2</v>
      </c>
      <c r="E68" s="179" t="s">
        <v>145</v>
      </c>
      <c r="F68" s="267">
        <f>0.93+0.487118*_ccc14*bsl^1.06806*tsl^0.46106*lslr^0.121563*ls3vol^0.36486*(1-cpp)^(-0.604247)</f>
        <v>1.3827235440192585</v>
      </c>
      <c r="G68" s="177" t="s">
        <v>146</v>
      </c>
      <c r="H68" s="264">
        <f>IF(bsta&lt;5,boca*supmol/(lwl*dprop*calar),supmol*(7*boca/calar-25)/(lwl*dprop*(bsta-3)))</f>
        <v>37.117860561815291</v>
      </c>
      <c r="I68" s="178" t="s">
        <v>147</v>
      </c>
      <c r="J68" s="171">
        <f>IF(_ccc8&lt;28,_ccc8,32-16/(CC8-24))</f>
        <v>32.666666666666664</v>
      </c>
      <c r="K68" s="177" t="s">
        <v>148</v>
      </c>
      <c r="L68" s="272">
        <f>IF(cpp&lt;0.7,0.12997/(0.95-cbb)-0.11056/(0.95-cpp),0.18567/(1.3571-csm)-0.71276+0.38648*cpp)</f>
        <v>5.546196709425022E-4</v>
      </c>
      <c r="M68" s="89"/>
      <c r="N68" s="89"/>
    </row>
    <row r="69" spans="1:14" s="90" customFormat="1" x14ac:dyDescent="0.2">
      <c r="A69" s="177"/>
      <c r="B69" s="171"/>
      <c r="C69" s="177" t="s">
        <v>149</v>
      </c>
      <c r="D69" s="395">
        <f>velms/SQRT(grav*(cal-_hbb1-0.25*SQRT(atr))+0.15*velms^2)</f>
        <v>1.2232850206529504</v>
      </c>
      <c r="E69" s="179" t="s">
        <v>150</v>
      </c>
      <c r="F69" s="171">
        <f>_kkm1+(_kk2-_kkm1)*sapp/(sapp+supmol)</f>
        <v>1.3827250741952635</v>
      </c>
      <c r="G69" s="181" t="s">
        <v>151</v>
      </c>
      <c r="H69" s="268">
        <f>kkm*cff+ccca</f>
        <v>3.0131291263462102E-3</v>
      </c>
      <c r="I69" s="178" t="s">
        <v>152</v>
      </c>
      <c r="J69" s="270">
        <f>1.45*cpp-0.315-0.0225*lcb</f>
        <v>0.86525157497749527</v>
      </c>
      <c r="K69" s="177" t="s">
        <v>153</v>
      </c>
      <c r="L69" s="263">
        <f>1+0.015*cstern</f>
        <v>1</v>
      </c>
      <c r="M69" s="89"/>
      <c r="N69" s="89"/>
    </row>
    <row r="70" spans="1:14" s="90" customFormat="1" x14ac:dyDescent="0.2">
      <c r="A70" s="177"/>
      <c r="B70" s="171"/>
      <c r="C70" s="177" t="s">
        <v>154</v>
      </c>
      <c r="D70" s="395">
        <f>B63/SQRT(2*$G37*$D19/($D10+$D10*$D18))</f>
        <v>6.6997305163987395</v>
      </c>
      <c r="E70" s="178" t="s">
        <v>155</v>
      </c>
      <c r="F70" s="171">
        <f>IF(D70&lt;5,0.2*(1-0.2*D70),0)</f>
        <v>0</v>
      </c>
      <c r="G70" s="177" t="s">
        <v>156</v>
      </c>
      <c r="H70" s="269">
        <f>0.006*(lwl+100)^(-0.16)-0.00205+0.003*SQRT(lwl/7.5)*cbb^4*_ccc2*(0.04-_ccc4)</f>
        <v>6.3484902014644998E-4</v>
      </c>
      <c r="I70" s="170" t="s">
        <v>157</v>
      </c>
      <c r="J70" s="271">
        <f>_mmm4*COS(lambda/fnn^2)</f>
        <v>-8.303157668666919E-3</v>
      </c>
      <c r="K70" s="185" t="s">
        <v>158</v>
      </c>
      <c r="L70" s="273">
        <f>_mmm3*fnn^(ddd)</f>
        <v>-4.9421507740176995</v>
      </c>
      <c r="M70" s="89"/>
      <c r="N70" s="89"/>
    </row>
    <row r="71" spans="1:14" s="90" customFormat="1" x14ac:dyDescent="0.2">
      <c r="A71" s="177"/>
      <c r="B71" s="171"/>
      <c r="C71" s="177">
        <v>5</v>
      </c>
      <c r="D71" s="264"/>
      <c r="E71" s="178"/>
      <c r="F71" s="171"/>
      <c r="G71" s="177"/>
      <c r="H71" s="269"/>
      <c r="I71" s="170"/>
      <c r="J71" s="271"/>
      <c r="K71" s="185"/>
      <c r="L71" s="273"/>
      <c r="M71" s="105"/>
      <c r="N71" s="89"/>
    </row>
    <row r="72" spans="1:14" s="90" customFormat="1" x14ac:dyDescent="0.2">
      <c r="A72" s="177"/>
      <c r="B72" s="171"/>
      <c r="C72" s="177"/>
      <c r="D72" s="172"/>
      <c r="E72" s="178"/>
      <c r="F72" s="173"/>
      <c r="G72" s="177"/>
      <c r="H72" s="175"/>
      <c r="I72" s="170"/>
      <c r="J72" s="184"/>
      <c r="K72" s="185"/>
      <c r="L72" s="186"/>
      <c r="M72" s="105"/>
      <c r="N72" s="89"/>
    </row>
    <row r="73" spans="1:14" s="90" customFormat="1" x14ac:dyDescent="0.2">
      <c r="A73" s="177"/>
      <c r="B73" s="171"/>
      <c r="C73" s="177"/>
      <c r="D73" s="172"/>
      <c r="E73" s="178"/>
      <c r="F73" s="173"/>
      <c r="G73" s="177"/>
      <c r="H73" s="175"/>
      <c r="I73" s="170"/>
      <c r="J73" s="184"/>
      <c r="K73" s="185"/>
      <c r="L73" s="186"/>
      <c r="M73" s="105"/>
      <c r="N73" s="89"/>
    </row>
    <row r="74" spans="1:14" s="90" customFormat="1" x14ac:dyDescent="0.2">
      <c r="A74" s="177"/>
      <c r="B74" s="171"/>
      <c r="C74" s="177"/>
      <c r="D74" s="172"/>
      <c r="E74" s="178"/>
      <c r="F74" s="173"/>
      <c r="G74" s="177"/>
      <c r="H74" s="175"/>
      <c r="I74" s="170"/>
      <c r="J74" s="184"/>
      <c r="K74" s="185"/>
      <c r="L74" s="186"/>
      <c r="M74" s="105"/>
      <c r="N74" s="86"/>
    </row>
    <row r="75" spans="1:14" s="90" customFormat="1" ht="12.75" thickBot="1" x14ac:dyDescent="0.25">
      <c r="A75" s="93"/>
      <c r="B75" s="94"/>
      <c r="C75" s="93"/>
      <c r="D75" s="95"/>
      <c r="E75" s="96"/>
      <c r="F75" s="97"/>
      <c r="G75" s="93"/>
      <c r="H75" s="98"/>
      <c r="I75" s="99"/>
      <c r="J75" s="100"/>
      <c r="K75" s="101"/>
      <c r="L75" s="102"/>
      <c r="M75" s="121"/>
      <c r="N75" s="86"/>
    </row>
    <row r="76" spans="1:14" x14ac:dyDescent="0.2">
      <c r="A76" s="103" t="s">
        <v>159</v>
      </c>
      <c r="B76" s="81"/>
      <c r="C76" s="21"/>
      <c r="D76" s="22"/>
      <c r="E76" s="103" t="s">
        <v>160</v>
      </c>
      <c r="F76" s="81"/>
      <c r="G76" s="21"/>
      <c r="H76" s="22"/>
      <c r="I76" s="103" t="s">
        <v>161</v>
      </c>
      <c r="J76" s="81"/>
      <c r="K76" s="84"/>
      <c r="L76" s="104"/>
      <c r="M76" s="121"/>
      <c r="N76" s="86"/>
    </row>
    <row r="77" spans="1:14" ht="12.75" thickBot="1" x14ac:dyDescent="0.25">
      <c r="A77" s="2"/>
      <c r="B77" s="87" t="s">
        <v>162</v>
      </c>
      <c r="C77" s="394">
        <f>0.075/(LOG10(Rey)-2)^2</f>
        <v>1.7199949220447189E-3</v>
      </c>
      <c r="D77" s="107"/>
      <c r="E77" s="2"/>
      <c r="F77" s="88"/>
      <c r="G77" s="24"/>
      <c r="H77" s="107"/>
      <c r="I77" s="2"/>
      <c r="L77" s="107"/>
      <c r="M77" s="121"/>
      <c r="N77" s="86"/>
    </row>
    <row r="78" spans="1:14" ht="15" customHeight="1" thickBot="1" x14ac:dyDescent="0.25">
      <c r="A78" s="2"/>
      <c r="B78" s="88"/>
      <c r="C78" s="108"/>
      <c r="D78" s="109"/>
      <c r="E78" s="2"/>
      <c r="F78" s="88"/>
      <c r="G78" s="110"/>
      <c r="H78" s="111"/>
      <c r="I78" s="112"/>
      <c r="J78" s="113" t="s">
        <v>163</v>
      </c>
      <c r="K78" s="222">
        <f>0.0005*roo*velms^2*supmol*ccca</f>
        <v>8.5148476383417453</v>
      </c>
      <c r="L78" s="114"/>
      <c r="M78" s="121"/>
      <c r="N78" s="86"/>
    </row>
    <row r="79" spans="1:14" ht="15.75" customHeight="1" thickBot="1" x14ac:dyDescent="0.25">
      <c r="A79" s="115"/>
      <c r="B79" s="116" t="s">
        <v>164</v>
      </c>
      <c r="C79" s="221">
        <f>0.0005*roo*velms^2*supmol*cff</f>
        <v>23.069256209222434</v>
      </c>
      <c r="D79" s="117"/>
      <c r="E79" s="115"/>
      <c r="F79" s="116" t="s">
        <v>165</v>
      </c>
      <c r="G79" s="221">
        <f>IF(pbb=0,0,0.00011*EXP(-3*pbb^(-2))*fnii^3*atr^1.5*roo*grav/(1+fnii^2))</f>
        <v>0</v>
      </c>
      <c r="H79" s="117"/>
      <c r="I79" s="118"/>
      <c r="J79" s="224" t="s">
        <v>166</v>
      </c>
      <c r="K79" s="225">
        <f>0.0005*roo*velms^2*sapp*_kk2*cff</f>
        <v>4.5150344878188087E-4</v>
      </c>
      <c r="L79" s="119"/>
      <c r="M79" s="132"/>
      <c r="N79" s="86"/>
    </row>
    <row r="80" spans="1:14" x14ac:dyDescent="0.2">
      <c r="A80" s="103" t="s">
        <v>167</v>
      </c>
      <c r="B80" s="21"/>
      <c r="C80" s="120"/>
      <c r="D80" s="22"/>
      <c r="E80" s="103" t="s">
        <v>168</v>
      </c>
      <c r="F80" s="21"/>
      <c r="G80" s="120"/>
      <c r="H80" s="22"/>
      <c r="I80" s="103" t="s">
        <v>169</v>
      </c>
      <c r="J80" s="21"/>
      <c r="K80" s="120"/>
      <c r="L80" s="22"/>
      <c r="M80" s="121"/>
      <c r="N80" s="86"/>
    </row>
    <row r="81" spans="1:14" ht="13.5" x14ac:dyDescent="0.25">
      <c r="A81" s="122">
        <f>_ccc17*_ccc2*_ccc5*desloc*roo*grav*EXP(_mmm3*0.44^ddd+_mmm4*COS(lambda*0.44^(-2)))</f>
        <v>391340.5403996121</v>
      </c>
      <c r="B81" s="24" t="s">
        <v>170</v>
      </c>
      <c r="C81" s="187">
        <f>0.001*_ccc17*_ccc2*_ccc5*desloc*roo*grav*EXP(_crw2+_crw1)</f>
        <v>51.345042009789964</v>
      </c>
      <c r="D81" s="107" t="s">
        <v>171</v>
      </c>
      <c r="F81" s="24"/>
      <c r="G81" s="123"/>
      <c r="H81" s="107"/>
      <c r="I81" s="2"/>
      <c r="J81" s="24"/>
      <c r="K81" s="123"/>
      <c r="L81" s="107"/>
      <c r="M81" s="138"/>
      <c r="N81" s="86"/>
    </row>
    <row r="82" spans="1:14" ht="13.5" x14ac:dyDescent="0.25">
      <c r="A82" s="122">
        <f>_ccc1*_ccc2*_ccc5*desloc*roo*grav*EXP(_mmm1*0.55^ddd+_mmm4*COS(lambda*0.55^(-2)))</f>
        <v>2907997.9883063538</v>
      </c>
      <c r="B82" s="24" t="s">
        <v>172</v>
      </c>
      <c r="C82" s="187">
        <f>0.001*_ccc1*_ccc2*_ccc5*desloc*roo*grav*EXP(_mmm1*fnn^ddd+_mmm4*COS(lambda/fnn^2))</f>
        <v>77.758947228075556</v>
      </c>
      <c r="D82" s="107" t="s">
        <v>171</v>
      </c>
      <c r="F82" s="24"/>
      <c r="G82" s="123"/>
      <c r="H82" s="107"/>
      <c r="I82" s="2"/>
      <c r="J82" s="24"/>
      <c r="K82" s="123"/>
      <c r="L82" s="107"/>
      <c r="M82" s="139"/>
      <c r="N82" s="133"/>
    </row>
    <row r="83" spans="1:14" ht="14.25" thickBot="1" x14ac:dyDescent="0.3">
      <c r="A83" s="124"/>
      <c r="B83" s="30" t="s">
        <v>173</v>
      </c>
      <c r="C83" s="393">
        <f>0.001*(A81+(10*fnn-4)*(A82-A81)/1.5)</f>
        <v>-2227.4244929009515</v>
      </c>
      <c r="D83" s="125" t="s">
        <v>171</v>
      </c>
      <c r="E83" s="2"/>
      <c r="F83" s="24"/>
      <c r="G83" s="123"/>
      <c r="H83" s="107"/>
      <c r="I83" s="2"/>
      <c r="J83" s="24"/>
      <c r="K83" s="123"/>
      <c r="L83" s="107"/>
      <c r="M83" s="140"/>
      <c r="N83" s="86"/>
    </row>
    <row r="84" spans="1:14" s="134" customFormat="1" ht="16.5" customHeight="1" thickBot="1" x14ac:dyDescent="0.3">
      <c r="A84" s="126"/>
      <c r="B84" s="127" t="s">
        <v>174</v>
      </c>
      <c r="C84" s="221">
        <f>IF(fnn&lt;=0.4,C82,IF(fnn&gt;0.55,C81,C83))</f>
        <v>77.758947228075556</v>
      </c>
      <c r="D84" s="128"/>
      <c r="E84" s="115"/>
      <c r="F84" s="116" t="s">
        <v>175</v>
      </c>
      <c r="G84" s="223">
        <f>0.0005*roo*velms^2*atrs*_ccc6</f>
        <v>0</v>
      </c>
      <c r="H84" s="117"/>
      <c r="I84" s="129"/>
      <c r="J84" s="130" t="s">
        <v>176</v>
      </c>
      <c r="K84" s="388">
        <f>(hrf*_kkm1+hrapp+hrw+hrb+hrtr+hra)</f>
        <v>118.17265007337042</v>
      </c>
      <c r="L84" s="131"/>
      <c r="M84" s="142"/>
      <c r="N84" s="86"/>
    </row>
    <row r="85" spans="1:14" ht="15" x14ac:dyDescent="0.2">
      <c r="A85"/>
      <c r="B85"/>
      <c r="C85"/>
      <c r="D85"/>
      <c r="F85" s="88"/>
      <c r="I85" s="123"/>
      <c r="J85" s="135"/>
      <c r="K85" s="135"/>
      <c r="L85" s="136"/>
      <c r="M85" s="142"/>
      <c r="N85" s="330"/>
    </row>
    <row r="86" spans="1:14" ht="15.75" thickBot="1" x14ac:dyDescent="0.25">
      <c r="A86" s="189" t="s">
        <v>177</v>
      </c>
      <c r="B86" s="191"/>
      <c r="C86" s="192"/>
      <c r="D86" s="191"/>
      <c r="F86" s="88"/>
      <c r="I86" s="123"/>
      <c r="J86" s="137"/>
      <c r="K86" s="137"/>
      <c r="L86" s="136"/>
      <c r="M86" s="330"/>
      <c r="N86" s="330"/>
    </row>
    <row r="87" spans="1:14" s="331" customFormat="1" ht="19.5" thickBot="1" x14ac:dyDescent="0.4">
      <c r="A87" s="326" t="s">
        <v>178</v>
      </c>
      <c r="B87" s="354">
        <f>IF((Nmprop&lt;2),(_ccc9*_ccc20*cvv*lsta*(0.050776+0.93405*CC11*cvv/(1-_ccp1))+0.27915*_ccc20*SQRT(boca/(lwl*(1-_ccp1)))+_ccc19*_ccc20),(0.3095*cbb+10*cvv*cbb-0.23*dprop/SQRT(boca*tcm)))</f>
        <v>0.49972417159867383</v>
      </c>
      <c r="C87" s="327"/>
      <c r="D87" s="326" t="s">
        <v>179</v>
      </c>
      <c r="E87" s="329">
        <f>IF((Nmprop&lt;2),(0.25014*bsl^0.28956*(SQRT(boca*tcm)/dprop)^0.2624/(1-cpp+0.0225*lcb)^0.01762+0.0015*cstern),(0.325*cbb-0.1885*dprop/SQRT(boca*tcm)))</f>
        <v>0.20278944420927583</v>
      </c>
      <c r="F87" s="327"/>
      <c r="G87" s="328" t="s">
        <v>180</v>
      </c>
      <c r="H87" s="329">
        <f>IF((Nmprop&lt;2),(0.9922-0.05908*rfaf+0.07424*(cpp-0.0225*lcb)),(0.9737+0.111*(cpp-0.0225*lcb)-0.06325*rend))</f>
        <v>1.0283825766388477</v>
      </c>
      <c r="I87" s="327"/>
      <c r="J87" s="326" t="s">
        <v>181</v>
      </c>
      <c r="K87" s="329">
        <f>rfaf</f>
        <v>0.4</v>
      </c>
      <c r="L87" s="327"/>
      <c r="M87" s="338"/>
      <c r="N87" s="396"/>
    </row>
    <row r="88" spans="1:14" s="331" customFormat="1" ht="16.5" thickBot="1" x14ac:dyDescent="0.3">
      <c r="A88" s="332" t="s">
        <v>182</v>
      </c>
      <c r="B88" s="329">
        <f>velms*(1-www)</f>
        <v>2.9596873870254017</v>
      </c>
      <c r="C88" s="333" t="s">
        <v>183</v>
      </c>
      <c r="D88" s="332" t="s">
        <v>184</v>
      </c>
      <c r="E88" s="389">
        <f>frt/(1-ttt)</f>
        <v>148.23267104906716</v>
      </c>
      <c r="F88" s="334" t="s">
        <v>171</v>
      </c>
      <c r="G88" s="335"/>
      <c r="H88" s="336"/>
      <c r="I88" s="337"/>
      <c r="J88" s="337"/>
      <c r="K88" s="336"/>
      <c r="L88" s="337"/>
      <c r="M88" s="151"/>
      <c r="N88" s="86"/>
    </row>
    <row r="89" spans="1:14" x14ac:dyDescent="0.2">
      <c r="A89" s="24"/>
      <c r="B89" s="24"/>
      <c r="C89" s="123"/>
      <c r="D89" s="24"/>
      <c r="E89" s="24"/>
      <c r="F89" s="88"/>
      <c r="G89" s="24"/>
      <c r="H89" s="24"/>
      <c r="I89" s="123"/>
      <c r="J89" s="141"/>
      <c r="K89" s="141"/>
      <c r="L89" s="194"/>
      <c r="M89" s="89"/>
      <c r="N89" s="86"/>
    </row>
    <row r="90" spans="1:14" x14ac:dyDescent="0.2">
      <c r="A90" s="143"/>
      <c r="B90" s="87"/>
      <c r="C90" s="143"/>
      <c r="D90" s="144"/>
      <c r="E90" s="145"/>
      <c r="F90" s="146"/>
      <c r="G90" s="145"/>
      <c r="H90" s="145"/>
      <c r="I90" s="145"/>
      <c r="J90" s="145"/>
      <c r="K90" s="145"/>
      <c r="L90" s="194"/>
      <c r="M90" s="149"/>
      <c r="N90" s="149"/>
    </row>
    <row r="91" spans="1:14" x14ac:dyDescent="0.2">
      <c r="A91" s="24"/>
      <c r="B91" s="24"/>
      <c r="C91" s="106"/>
      <c r="D91" s="106"/>
      <c r="E91" s="106"/>
      <c r="F91" s="147"/>
      <c r="G91" s="106"/>
      <c r="H91" s="106"/>
      <c r="I91" s="106"/>
      <c r="J91" s="106"/>
      <c r="K91" s="106"/>
      <c r="L91" s="88"/>
      <c r="M91" s="89"/>
      <c r="N91" s="151"/>
    </row>
    <row r="92" spans="1:14" s="150" customFormat="1" x14ac:dyDescent="0.2">
      <c r="A92" s="24"/>
      <c r="B92" s="24"/>
      <c r="C92" s="148"/>
      <c r="D92" s="148"/>
      <c r="E92" s="148"/>
      <c r="F92" s="91"/>
      <c r="G92" s="148"/>
      <c r="H92" s="148"/>
      <c r="I92" s="148"/>
      <c r="J92" s="148"/>
      <c r="K92" s="148"/>
      <c r="L92" s="110"/>
      <c r="M92" s="151"/>
      <c r="N92" s="89"/>
    </row>
    <row r="93" spans="1:14" s="152" customFormat="1" x14ac:dyDescent="0.2">
      <c r="A93" s="195"/>
      <c r="B93" s="368"/>
      <c r="C93" s="91"/>
      <c r="D93" s="91"/>
      <c r="E93" s="91"/>
      <c r="F93" s="91"/>
      <c r="G93" s="91"/>
      <c r="H93" s="91"/>
      <c r="I93" s="91"/>
      <c r="J93" s="91"/>
      <c r="K93" s="91"/>
      <c r="L93" s="195"/>
      <c r="M93" s="89"/>
      <c r="N93" s="149"/>
    </row>
    <row r="94" spans="1:14" s="90" customFormat="1" x14ac:dyDescent="0.2">
      <c r="A94" s="87"/>
      <c r="B94" s="371"/>
      <c r="C94" s="153"/>
      <c r="D94" s="153"/>
      <c r="E94" s="153"/>
      <c r="F94" s="154"/>
      <c r="G94" s="153"/>
      <c r="H94" s="153"/>
      <c r="I94" s="153"/>
      <c r="J94" s="153"/>
      <c r="K94" s="153"/>
      <c r="L94" s="87"/>
      <c r="M94" s="89"/>
      <c r="N94" s="89"/>
    </row>
    <row r="95" spans="1:14" s="150" customFormat="1" x14ac:dyDescent="0.2">
      <c r="A95" s="110"/>
      <c r="B95" s="369"/>
      <c r="C95" s="148"/>
      <c r="D95" s="148"/>
      <c r="E95" s="148"/>
      <c r="F95" s="91"/>
      <c r="G95" s="148"/>
      <c r="H95" s="148"/>
      <c r="I95" s="148"/>
      <c r="J95" s="148"/>
      <c r="K95" s="148"/>
      <c r="L95" s="110"/>
      <c r="M95" s="89"/>
      <c r="N95" s="151"/>
    </row>
    <row r="96" spans="1:14" s="90" customFormat="1" x14ac:dyDescent="0.2">
      <c r="A96" s="24"/>
      <c r="B96" s="370"/>
      <c r="C96" s="92"/>
      <c r="D96" s="92"/>
      <c r="E96" s="92"/>
      <c r="F96" s="155"/>
      <c r="G96" s="92"/>
      <c r="H96" s="92"/>
      <c r="I96" s="92"/>
      <c r="J96" s="92"/>
      <c r="K96" s="92"/>
      <c r="L96" s="87"/>
      <c r="M96" s="89"/>
      <c r="N96" s="89"/>
    </row>
    <row r="97" spans="1:14" s="152" customFormat="1" x14ac:dyDescent="0.2">
      <c r="A97" s="24"/>
      <c r="B97" s="24"/>
      <c r="C97" s="148"/>
      <c r="D97" s="148"/>
      <c r="E97" s="148"/>
      <c r="F97" s="91"/>
      <c r="G97" s="148"/>
      <c r="H97" s="148"/>
      <c r="I97" s="148"/>
      <c r="J97" s="148"/>
      <c r="K97" s="148"/>
      <c r="L97" s="195"/>
      <c r="M97" s="151"/>
      <c r="N97" s="89"/>
    </row>
    <row r="98" spans="1:14" s="90" customFormat="1" ht="12.75" thickBot="1" x14ac:dyDescent="0.25">
      <c r="A98" s="24"/>
      <c r="B98" s="24"/>
      <c r="C98" s="156"/>
      <c r="D98" s="156"/>
      <c r="E98" s="156"/>
      <c r="F98" s="157"/>
      <c r="G98" s="156"/>
      <c r="H98" s="156"/>
      <c r="I98" s="156"/>
      <c r="J98" s="156"/>
      <c r="K98" s="156"/>
      <c r="L98" s="87"/>
      <c r="M98" s="151"/>
      <c r="N98" s="89"/>
    </row>
    <row r="99" spans="1:14" s="90" customFormat="1" ht="12.75" thickBot="1" x14ac:dyDescent="0.25">
      <c r="A99" s="24"/>
      <c r="B99" s="33"/>
      <c r="C99" s="349"/>
      <c r="D99" s="22"/>
      <c r="E99" s="9"/>
      <c r="F99" s="366">
        <f>MAX($B$65)</f>
        <v>0.24391409513368115</v>
      </c>
      <c r="G99" s="158"/>
      <c r="H99" s="158"/>
      <c r="I99" s="158"/>
      <c r="J99" s="158"/>
      <c r="K99" s="158"/>
      <c r="L99" s="87"/>
      <c r="M99" s="151"/>
      <c r="N99" s="89"/>
    </row>
    <row r="100" spans="1:14" s="90" customFormat="1" x14ac:dyDescent="0.2">
      <c r="A100" s="87"/>
      <c r="B100" s="345">
        <f>MAX($B$65)</f>
        <v>0.24391409513368115</v>
      </c>
      <c r="C100" s="363">
        <f>MAX($B$65)</f>
        <v>0.24391409513368115</v>
      </c>
      <c r="D100" s="355">
        <f>MAX($B$65)</f>
        <v>0.24391409513368115</v>
      </c>
      <c r="E100" s="353">
        <f>MAX($L$18)</f>
        <v>33.183596483196979</v>
      </c>
      <c r="F100" s="9">
        <f>COUNT($H$11:$H$12,$D$22)</f>
        <v>3</v>
      </c>
      <c r="G100" s="159"/>
      <c r="H100" s="159"/>
      <c r="I100" s="159"/>
      <c r="J100" s="159"/>
      <c r="K100" s="159"/>
      <c r="L100" s="87"/>
      <c r="M100" s="151"/>
      <c r="N100" s="151"/>
    </row>
    <row r="101" spans="1:14" s="90" customFormat="1" x14ac:dyDescent="0.2">
      <c r="A101" s="24"/>
      <c r="B101" s="23">
        <f>COUNT($H$8,$H$10:$H$12,$D$22)</f>
        <v>5</v>
      </c>
      <c r="C101" s="350">
        <f>COUNT($H$11:$H$12,$D$22)</f>
        <v>3</v>
      </c>
      <c r="D101" s="107">
        <f>COUNT($H$11:$H$12,$D$22)</f>
        <v>3</v>
      </c>
      <c r="E101" s="9">
        <f>COUNT($H$11,$H$12,$D$22)</f>
        <v>3</v>
      </c>
      <c r="F101" s="9" t="b">
        <f>$H$11&lt;=1.05</f>
        <v>1</v>
      </c>
      <c r="G101" s="106"/>
      <c r="H101" s="106"/>
      <c r="I101" s="106"/>
      <c r="J101" s="106"/>
      <c r="K101" s="106"/>
      <c r="L101" s="87"/>
      <c r="N101" s="151"/>
    </row>
    <row r="102" spans="1:14" s="152" customFormat="1" x14ac:dyDescent="0.2">
      <c r="A102" s="195"/>
      <c r="B102" s="23" t="b">
        <f>$H$11&lt;=1.05</f>
        <v>1</v>
      </c>
      <c r="C102" s="350" t="b">
        <f>$H$11&lt;=1.05</f>
        <v>1</v>
      </c>
      <c r="D102" s="107" t="b">
        <f>$H$11&lt;=1.05</f>
        <v>1</v>
      </c>
      <c r="E102" s="9" t="b">
        <f>$H$11&lt;=1.05</f>
        <v>1</v>
      </c>
      <c r="F102" s="9" t="b">
        <f>$H$11&gt;=0.3</f>
        <v>1</v>
      </c>
      <c r="G102" s="148"/>
      <c r="H102" s="148"/>
      <c r="I102" s="148"/>
      <c r="J102" s="148"/>
      <c r="K102" s="148"/>
      <c r="L102" s="195"/>
      <c r="M102" s="90"/>
      <c r="N102" s="151"/>
    </row>
    <row r="103" spans="1:14" s="152" customFormat="1" x14ac:dyDescent="0.2">
      <c r="A103" s="195"/>
      <c r="B103" s="23" t="b">
        <f>$H$11&gt;=0.3</f>
        <v>1</v>
      </c>
      <c r="C103" s="350" t="b">
        <f>$H$11&gt;=0.3</f>
        <v>1</v>
      </c>
      <c r="D103" s="107" t="b">
        <f>$H$11&gt;=0.3</f>
        <v>1</v>
      </c>
      <c r="E103" s="9" t="b">
        <f>$H$11&gt;=0.3</f>
        <v>1</v>
      </c>
      <c r="F103" s="9" t="b">
        <f>$H$12&lt;=1.4</f>
        <v>1</v>
      </c>
      <c r="G103" s="148"/>
      <c r="H103" s="148"/>
      <c r="I103" s="148"/>
      <c r="J103" s="148"/>
      <c r="K103" s="148"/>
      <c r="L103" s="195"/>
      <c r="M103" s="90"/>
      <c r="N103" s="151"/>
    </row>
    <row r="104" spans="1:14" s="152" customFormat="1" x14ac:dyDescent="0.2">
      <c r="A104" s="110"/>
      <c r="B104" s="23" t="b">
        <f>$H$12&lt;=1.4</f>
        <v>1</v>
      </c>
      <c r="C104" s="350" t="b">
        <f>$H$12&lt;=1.4</f>
        <v>1</v>
      </c>
      <c r="D104" s="107" t="b">
        <f>$H$12&lt;=1.4</f>
        <v>1</v>
      </c>
      <c r="E104" s="9" t="b">
        <f>$H$12&lt;=1.4</f>
        <v>1</v>
      </c>
      <c r="F104" s="9" t="b">
        <f>$H$12&gt;=0.5</f>
        <v>1</v>
      </c>
      <c r="G104" s="148"/>
      <c r="H104" s="148"/>
      <c r="I104" s="148"/>
      <c r="J104" s="148"/>
      <c r="K104" s="148"/>
      <c r="L104" s="195"/>
      <c r="M104" s="164"/>
      <c r="N104" s="90"/>
    </row>
    <row r="105" spans="1:14" s="152" customFormat="1" x14ac:dyDescent="0.2">
      <c r="A105" s="110"/>
      <c r="B105" s="23" t="b">
        <f>$H$12&gt;=0.5</f>
        <v>1</v>
      </c>
      <c r="C105" s="350" t="b">
        <f>$H$12&gt;=0.5</f>
        <v>1</v>
      </c>
      <c r="D105" s="25" t="b">
        <f>$H$12&gt;=0.5</f>
        <v>1</v>
      </c>
      <c r="E105" s="9" t="b">
        <f>$H$12&gt;=0.5</f>
        <v>1</v>
      </c>
      <c r="F105" s="9" t="b">
        <f>$L$24&lt;=$L$27</f>
        <v>0</v>
      </c>
      <c r="G105" s="148"/>
      <c r="H105" s="148"/>
      <c r="I105" s="148"/>
      <c r="J105" s="148"/>
      <c r="K105" s="148"/>
      <c r="L105" s="195"/>
      <c r="M105" s="90"/>
      <c r="N105" s="90"/>
    </row>
    <row r="106" spans="1:14" s="90" customFormat="1" x14ac:dyDescent="0.2">
      <c r="A106" s="16"/>
      <c r="B106" s="23" t="b">
        <f>$L$18&lt;=$L$27</f>
        <v>0</v>
      </c>
      <c r="C106" s="350" t="b">
        <f>$L$18&lt;=$L$27</f>
        <v>0</v>
      </c>
      <c r="D106" s="27" t="b">
        <f>$L$24&lt;=$L$27</f>
        <v>0</v>
      </c>
      <c r="E106" s="9" t="b">
        <f>$H$22&lt;=0.9</f>
        <v>1</v>
      </c>
      <c r="F106" s="9" t="b">
        <f>$H$22&lt;=0.9</f>
        <v>1</v>
      </c>
      <c r="G106" s="160"/>
      <c r="H106" s="160"/>
      <c r="I106" s="160"/>
      <c r="J106" s="160"/>
      <c r="K106" s="16"/>
      <c r="L106" s="196"/>
    </row>
    <row r="107" spans="1:14" s="90" customFormat="1" x14ac:dyDescent="0.2">
      <c r="A107" s="3"/>
      <c r="B107" s="346" t="b">
        <f>$H$22&lt;=0.9</f>
        <v>1</v>
      </c>
      <c r="C107" s="364" t="b">
        <f>$H$22&lt;=0.9</f>
        <v>1</v>
      </c>
      <c r="D107" s="27" t="b">
        <f>$H$22&lt;=0.9</f>
        <v>1</v>
      </c>
      <c r="E107" s="9" t="b">
        <f>$H$22&gt;=0.1</f>
        <v>1</v>
      </c>
      <c r="F107" s="9" t="b">
        <f>$H$22&gt;=0.1</f>
        <v>1</v>
      </c>
      <c r="G107" s="160"/>
      <c r="H107" s="160"/>
      <c r="I107" s="160"/>
      <c r="J107" s="160"/>
      <c r="K107" s="16"/>
      <c r="L107" s="196"/>
      <c r="M107" s="152"/>
    </row>
    <row r="108" spans="1:14" s="90" customFormat="1" x14ac:dyDescent="0.2">
      <c r="A108" s="197"/>
      <c r="B108" s="347" t="b">
        <f>$H$22&gt;=0.1</f>
        <v>1</v>
      </c>
      <c r="C108" s="351" t="b">
        <f>$H$22&gt;=0.1</f>
        <v>1</v>
      </c>
      <c r="D108" s="27" t="b">
        <f>$H$22&gt;=0.1</f>
        <v>1</v>
      </c>
      <c r="E108" s="9" t="b">
        <f>$L$12=0</f>
        <v>0</v>
      </c>
      <c r="F108" s="60" t="b">
        <f>$L$12=0</f>
        <v>0</v>
      </c>
      <c r="G108" s="24"/>
      <c r="H108" s="24"/>
      <c r="I108" s="162"/>
      <c r="J108" s="87"/>
      <c r="K108" s="153"/>
      <c r="L108" s="196"/>
    </row>
    <row r="109" spans="1:14" s="90" customFormat="1" x14ac:dyDescent="0.2">
      <c r="A109" s="4"/>
      <c r="B109" s="347" t="b">
        <f>$L$12=0</f>
        <v>0</v>
      </c>
      <c r="C109" s="351" t="b">
        <f>$L$12=0</f>
        <v>0</v>
      </c>
      <c r="D109" s="27" t="b">
        <f>$L$12=0</f>
        <v>0</v>
      </c>
      <c r="E109" s="9" t="b">
        <f>$L$9&gt;=0.01</f>
        <v>1</v>
      </c>
      <c r="F109" s="60" t="b">
        <f>$L$9&gt;=0.01</f>
        <v>1</v>
      </c>
      <c r="G109" s="24"/>
      <c r="H109" s="24"/>
      <c r="I109" s="163"/>
      <c r="J109" s="87"/>
      <c r="K109" s="92"/>
      <c r="L109" s="198"/>
    </row>
    <row r="110" spans="1:14" s="90" customFormat="1" x14ac:dyDescent="0.2">
      <c r="A110" s="87"/>
      <c r="B110" s="347" t="b">
        <f>$L$9&gt;=0.01</f>
        <v>1</v>
      </c>
      <c r="C110" s="351" t="b">
        <f>$L$9&gt;=0.01</f>
        <v>1</v>
      </c>
      <c r="D110" s="27" t="b">
        <f>$L$9&gt;=0.01</f>
        <v>1</v>
      </c>
      <c r="E110" s="9" t="b">
        <f>$L$18&lt;=$L$27</f>
        <v>0</v>
      </c>
      <c r="F110" s="60" t="b">
        <f>$H$8&lt;=7</f>
        <v>1</v>
      </c>
      <c r="G110" s="92"/>
      <c r="H110" s="92"/>
      <c r="I110" s="92"/>
      <c r="J110" s="92"/>
      <c r="K110" s="92"/>
      <c r="L110" s="196"/>
      <c r="M110" s="165"/>
      <c r="N110" s="152"/>
    </row>
    <row r="111" spans="1:14" s="90" customFormat="1" x14ac:dyDescent="0.2">
      <c r="A111" s="199"/>
      <c r="B111" s="347" t="b">
        <f>$H$8&lt;=7</f>
        <v>1</v>
      </c>
      <c r="C111" s="351" t="b">
        <f>$H$8&lt;=7</f>
        <v>1</v>
      </c>
      <c r="D111" s="27" t="b">
        <f>$H$8&lt;=7</f>
        <v>1</v>
      </c>
      <c r="E111" s="9">
        <f>{100,100,0.000001,0.05,FALSE,FALSE,FALSE,1,1,1}</f>
        <v>100</v>
      </c>
      <c r="F111" s="9" t="b">
        <f>$H$8&gt;=3</f>
        <v>1</v>
      </c>
      <c r="G111" s="153"/>
      <c r="H111" s="153"/>
      <c r="I111" s="153"/>
      <c r="J111" s="153"/>
      <c r="K111" s="153"/>
      <c r="L111" s="196"/>
    </row>
    <row r="112" spans="1:14" s="152" customFormat="1" x14ac:dyDescent="0.2">
      <c r="A112" s="195"/>
      <c r="B112" s="347" t="b">
        <f>$H$8&gt;=3</f>
        <v>1</v>
      </c>
      <c r="C112" s="351" t="b">
        <f>$H$8&gt;=3</f>
        <v>1</v>
      </c>
      <c r="D112" s="27" t="b">
        <f>$H$8&gt;=3</f>
        <v>1</v>
      </c>
      <c r="E112" s="9"/>
      <c r="F112" s="9" t="b">
        <f>$H$10&lt;=900</f>
        <v>1</v>
      </c>
      <c r="G112" s="148"/>
      <c r="H112" s="148"/>
      <c r="I112" s="148"/>
      <c r="J112" s="148"/>
      <c r="K112" s="148"/>
      <c r="L112" s="200"/>
      <c r="M112" s="90"/>
      <c r="N112" s="90"/>
    </row>
    <row r="113" spans="1:17" s="90" customFormat="1" x14ac:dyDescent="0.2">
      <c r="A113" s="87"/>
      <c r="B113" s="347" t="b">
        <f>$H$10&lt;=900</f>
        <v>1</v>
      </c>
      <c r="C113" s="351" t="b">
        <f>$H$10&lt;=900</f>
        <v>1</v>
      </c>
      <c r="D113" s="27" t="b">
        <f>$H$10&lt;=900</f>
        <v>1</v>
      </c>
      <c r="E113" s="9"/>
      <c r="F113" s="9" t="b">
        <f>$H$10&gt;=200</f>
        <v>0</v>
      </c>
      <c r="G113" s="92"/>
      <c r="H113" s="92"/>
      <c r="I113" s="92"/>
      <c r="J113" s="92"/>
      <c r="K113" s="92"/>
      <c r="L113" s="196"/>
      <c r="M113" s="166"/>
    </row>
    <row r="114" spans="1:17" s="90" customFormat="1" x14ac:dyDescent="0.2">
      <c r="A114" s="197"/>
      <c r="B114" s="347" t="b">
        <f>$H$10&gt;=200</f>
        <v>0</v>
      </c>
      <c r="C114" s="351" t="b">
        <f>$H$10&gt;=200</f>
        <v>0</v>
      </c>
      <c r="D114" s="27" t="b">
        <f>$H$10&gt;=200</f>
        <v>0</v>
      </c>
      <c r="E114" s="9"/>
      <c r="F114" s="9" t="b">
        <f>$H$11&lt;=$G$11</f>
        <v>1</v>
      </c>
      <c r="G114" s="92"/>
      <c r="H114" s="92"/>
      <c r="I114" s="92"/>
      <c r="J114" s="92"/>
      <c r="K114" s="92"/>
      <c r="L114" s="196"/>
      <c r="M114" s="166"/>
    </row>
    <row r="115" spans="1:17" s="90" customFormat="1" ht="12.75" thickBot="1" x14ac:dyDescent="0.25">
      <c r="A115" s="16"/>
      <c r="B115" s="348">
        <f>{1000,1000,0.000001,0.05,FALSE,FALSE,FALSE,1,1,1}</f>
        <v>1000</v>
      </c>
      <c r="C115" s="352">
        <f>{1000,1000,0.000001,0.05,FALSE,FALSE,FALSE,1,1,1}</f>
        <v>1000</v>
      </c>
      <c r="D115" s="31">
        <f>{1000,1000,0.000001,0.05,FALSE,FALSE,FALSE,1,1,1}</f>
        <v>1000</v>
      </c>
      <c r="E115" s="9"/>
      <c r="F115" s="9" t="b">
        <f>$H$11&gt;=$G$10</f>
        <v>1</v>
      </c>
      <c r="G115" s="160"/>
      <c r="H115" s="160"/>
      <c r="I115" s="160"/>
      <c r="J115" s="160"/>
      <c r="K115" s="160"/>
      <c r="L115" s="161"/>
      <c r="M115" s="166"/>
    </row>
    <row r="116" spans="1:17" s="90" customFormat="1" ht="12.75" thickBot="1" x14ac:dyDescent="0.25">
      <c r="A116" s="201"/>
      <c r="B116" s="28"/>
      <c r="C116" s="352"/>
      <c r="D116" s="28"/>
      <c r="E116" s="9"/>
      <c r="F116" s="9">
        <f>{1000,1000,0.000001,0.05,FALSE,FALSE,FALSE,1,1,1}</f>
        <v>1000</v>
      </c>
      <c r="G116" s="16"/>
      <c r="H116" s="16"/>
      <c r="I116" s="16"/>
      <c r="J116" s="16"/>
      <c r="K116" s="16"/>
      <c r="L116" s="16"/>
      <c r="M116" s="166"/>
      <c r="N116" s="166"/>
    </row>
    <row r="117" spans="1:17" s="90" customFormat="1" x14ac:dyDescent="0.2">
      <c r="A117" s="201"/>
      <c r="B117" s="28"/>
      <c r="C117" s="28"/>
      <c r="D117" s="28"/>
      <c r="E117" s="9"/>
      <c r="F117" s="9"/>
      <c r="G117" s="16"/>
      <c r="H117" s="16"/>
      <c r="I117" s="16"/>
      <c r="J117" s="16"/>
      <c r="K117" s="16"/>
      <c r="L117" s="16"/>
      <c r="M117" s="166"/>
      <c r="N117" s="166"/>
    </row>
    <row r="118" spans="1:17" s="167" customFormat="1" x14ac:dyDescent="0.2">
      <c r="A118" s="202"/>
      <c r="B118" s="202"/>
      <c r="C118" s="202"/>
      <c r="D118" s="202"/>
      <c r="E118" s="202"/>
      <c r="F118" s="202"/>
      <c r="G118" s="202"/>
      <c r="H118" s="202"/>
      <c r="I118" s="202"/>
      <c r="J118" s="202"/>
      <c r="K118" s="202"/>
      <c r="L118" s="202"/>
      <c r="M118" s="166"/>
      <c r="N118" s="166"/>
      <c r="O118" s="166"/>
      <c r="P118" s="166"/>
      <c r="Q118" s="166"/>
    </row>
    <row r="119" spans="1:17" s="167" customFormat="1" x14ac:dyDescent="0.2">
      <c r="A119" s="202"/>
      <c r="B119" s="202"/>
      <c r="C119" s="202"/>
      <c r="D119" s="202"/>
      <c r="E119" s="202"/>
      <c r="F119" s="202"/>
      <c r="G119" s="202"/>
      <c r="H119" s="202"/>
      <c r="I119" s="202"/>
      <c r="J119" s="202"/>
      <c r="K119" s="202"/>
      <c r="L119" s="202"/>
      <c r="M119" s="166"/>
      <c r="N119" s="166"/>
      <c r="O119" s="166"/>
      <c r="P119" s="166"/>
      <c r="Q119" s="166"/>
    </row>
    <row r="120" spans="1:17" s="167" customFormat="1" x14ac:dyDescent="0.2">
      <c r="A120" s="202"/>
      <c r="B120" s="202"/>
      <c r="C120" s="202"/>
      <c r="D120" s="202"/>
      <c r="E120" s="202"/>
      <c r="F120" s="202"/>
      <c r="G120" s="202"/>
      <c r="H120" s="202"/>
      <c r="I120" s="202"/>
      <c r="J120" s="202"/>
      <c r="K120" s="202"/>
      <c r="L120" s="202"/>
      <c r="M120" s="166"/>
      <c r="N120" s="166"/>
      <c r="O120" s="166"/>
      <c r="P120" s="166"/>
      <c r="Q120" s="166"/>
    </row>
    <row r="121" spans="1:17" s="167" customFormat="1" x14ac:dyDescent="0.2">
      <c r="A121" s="202"/>
      <c r="B121" s="202"/>
      <c r="C121" s="202"/>
      <c r="D121" s="202"/>
      <c r="E121" s="202"/>
      <c r="F121" s="202"/>
      <c r="G121" s="202"/>
      <c r="H121" s="202"/>
      <c r="I121" s="202"/>
      <c r="J121" s="202"/>
      <c r="K121" s="202"/>
      <c r="L121" s="202"/>
      <c r="M121" s="166"/>
      <c r="N121" s="166"/>
      <c r="O121" s="166"/>
      <c r="P121" s="166"/>
      <c r="Q121" s="166"/>
    </row>
    <row r="122" spans="1:17" s="167" customFormat="1" x14ac:dyDescent="0.2">
      <c r="A122" s="202"/>
      <c r="B122" s="202"/>
      <c r="C122" s="202"/>
      <c r="D122" s="202"/>
      <c r="E122" s="202"/>
      <c r="F122" s="202"/>
      <c r="G122" s="202"/>
      <c r="H122" s="202"/>
      <c r="I122" s="202"/>
      <c r="J122" s="202"/>
      <c r="K122" s="202"/>
      <c r="L122" s="202"/>
      <c r="M122" s="166"/>
      <c r="N122" s="166"/>
      <c r="O122" s="166"/>
      <c r="P122" s="166"/>
      <c r="Q122" s="166"/>
    </row>
    <row r="123" spans="1:17" s="167" customFormat="1" x14ac:dyDescent="0.2">
      <c r="A123" s="202"/>
      <c r="B123" s="202"/>
      <c r="C123" s="202"/>
      <c r="D123" s="202"/>
      <c r="E123" s="202"/>
      <c r="F123" s="202"/>
      <c r="G123" s="202"/>
      <c r="H123" s="202"/>
      <c r="I123" s="202"/>
      <c r="J123" s="202"/>
      <c r="K123" s="202"/>
      <c r="L123" s="202"/>
      <c r="M123" s="166"/>
      <c r="N123" s="166"/>
      <c r="O123" s="166"/>
      <c r="P123" s="166"/>
      <c r="Q123" s="166"/>
    </row>
    <row r="124" spans="1:17" s="167" customFormat="1" x14ac:dyDescent="0.2">
      <c r="A124" s="202"/>
      <c r="B124" s="202"/>
      <c r="C124" s="202"/>
      <c r="D124" s="202"/>
      <c r="E124" s="202"/>
      <c r="F124" s="202"/>
      <c r="G124" s="202"/>
      <c r="H124" s="202"/>
      <c r="I124" s="202"/>
      <c r="J124" s="202"/>
      <c r="K124" s="202"/>
      <c r="L124" s="202"/>
      <c r="M124" s="166"/>
      <c r="N124" s="166"/>
      <c r="O124" s="166"/>
      <c r="P124" s="166"/>
      <c r="Q124" s="166"/>
    </row>
    <row r="125" spans="1:17" s="167" customFormat="1" x14ac:dyDescent="0.2">
      <c r="A125" s="166"/>
      <c r="B125" s="166"/>
      <c r="C125" s="166"/>
      <c r="D125" s="166"/>
      <c r="E125" s="166"/>
      <c r="F125" s="166"/>
      <c r="G125" s="166"/>
      <c r="H125" s="166"/>
      <c r="I125" s="166"/>
      <c r="J125" s="166"/>
      <c r="K125" s="166"/>
      <c r="L125" s="166"/>
      <c r="M125" s="166"/>
      <c r="N125" s="166"/>
      <c r="O125" s="166"/>
      <c r="P125" s="166"/>
      <c r="Q125" s="166"/>
    </row>
    <row r="126" spans="1:17" s="167" customFormat="1" x14ac:dyDescent="0.2">
      <c r="A126" s="166"/>
      <c r="B126" s="166"/>
      <c r="C126" s="166"/>
      <c r="D126" s="166"/>
      <c r="E126" s="166"/>
      <c r="F126" s="166"/>
      <c r="G126" s="166"/>
      <c r="H126" s="166"/>
      <c r="I126" s="166"/>
      <c r="J126" s="166"/>
      <c r="K126" s="166"/>
      <c r="L126" s="166"/>
      <c r="M126" s="166"/>
      <c r="N126" s="166"/>
      <c r="O126" s="166"/>
      <c r="P126" s="166"/>
      <c r="Q126" s="166"/>
    </row>
    <row r="127" spans="1:17" s="167" customFormat="1" x14ac:dyDescent="0.2">
      <c r="A127" s="166"/>
      <c r="B127" s="166"/>
      <c r="C127" s="166"/>
      <c r="D127" s="166"/>
      <c r="E127" s="166"/>
      <c r="F127" s="166"/>
      <c r="G127" s="166"/>
      <c r="H127" s="166"/>
      <c r="I127" s="166"/>
      <c r="J127" s="166"/>
      <c r="K127" s="166"/>
      <c r="L127" s="166"/>
      <c r="M127" s="166"/>
      <c r="N127" s="166"/>
      <c r="O127" s="166"/>
      <c r="P127" s="166"/>
      <c r="Q127" s="166"/>
    </row>
    <row r="128" spans="1:17" s="167" customFormat="1" x14ac:dyDescent="0.2">
      <c r="A128" s="166"/>
      <c r="B128" s="166"/>
      <c r="C128" s="166"/>
      <c r="D128" s="166"/>
      <c r="E128" s="166"/>
      <c r="F128" s="166"/>
      <c r="G128" s="166"/>
      <c r="H128" s="166"/>
      <c r="I128" s="166"/>
      <c r="J128" s="166"/>
      <c r="K128" s="166"/>
      <c r="L128" s="166"/>
      <c r="M128" s="166"/>
      <c r="N128" s="166"/>
      <c r="O128" s="166"/>
      <c r="P128" s="166"/>
      <c r="Q128" s="166"/>
    </row>
    <row r="129" spans="1:17" s="167" customFormat="1" x14ac:dyDescent="0.2">
      <c r="A129" s="166"/>
      <c r="B129" s="166"/>
      <c r="C129" s="166"/>
      <c r="D129" s="166"/>
      <c r="E129" s="166"/>
      <c r="F129" s="166"/>
      <c r="G129" s="166"/>
      <c r="H129" s="166"/>
      <c r="I129" s="166"/>
      <c r="J129" s="166"/>
      <c r="K129" s="166"/>
      <c r="L129" s="166"/>
      <c r="M129" s="166"/>
      <c r="N129" s="166"/>
      <c r="O129" s="166"/>
      <c r="P129" s="166"/>
      <c r="Q129" s="166"/>
    </row>
    <row r="130" spans="1:17" s="167" customFormat="1" x14ac:dyDescent="0.2">
      <c r="A130" s="166"/>
      <c r="B130" s="166"/>
      <c r="C130" s="166"/>
      <c r="D130" s="166"/>
      <c r="E130" s="166"/>
      <c r="F130" s="166"/>
      <c r="G130" s="166"/>
      <c r="H130" s="166"/>
      <c r="I130" s="166"/>
      <c r="J130" s="166"/>
      <c r="K130" s="166"/>
      <c r="L130" s="166"/>
      <c r="M130" s="166"/>
      <c r="N130" s="166"/>
      <c r="O130" s="166"/>
      <c r="P130" s="166"/>
      <c r="Q130" s="166"/>
    </row>
    <row r="131" spans="1:17" s="167" customFormat="1" x14ac:dyDescent="0.2">
      <c r="A131" s="166"/>
      <c r="B131" s="166"/>
      <c r="C131" s="166"/>
      <c r="D131" s="166"/>
      <c r="E131" s="166"/>
      <c r="F131" s="166"/>
      <c r="G131" s="166"/>
      <c r="H131" s="166"/>
      <c r="I131" s="166"/>
      <c r="J131" s="166"/>
      <c r="K131" s="166"/>
      <c r="L131" s="166"/>
      <c r="M131" s="166"/>
      <c r="N131" s="166"/>
      <c r="O131" s="166"/>
      <c r="P131" s="166"/>
      <c r="Q131" s="166"/>
    </row>
    <row r="132" spans="1:17" s="167" customFormat="1" x14ac:dyDescent="0.2">
      <c r="A132" s="166"/>
      <c r="B132" s="166"/>
      <c r="C132" s="166"/>
      <c r="D132" s="166"/>
      <c r="E132" s="166"/>
      <c r="F132" s="166"/>
      <c r="G132" s="166"/>
      <c r="H132" s="166"/>
      <c r="I132" s="166"/>
      <c r="J132" s="166"/>
      <c r="K132" s="166"/>
      <c r="L132" s="166"/>
      <c r="M132" s="166"/>
      <c r="N132" s="166"/>
      <c r="O132" s="166"/>
      <c r="P132" s="166"/>
      <c r="Q132" s="166"/>
    </row>
    <row r="133" spans="1:17" s="167" customFormat="1" x14ac:dyDescent="0.2">
      <c r="A133" s="166"/>
      <c r="B133" s="166"/>
      <c r="C133" s="166"/>
      <c r="D133" s="166"/>
      <c r="E133" s="166"/>
      <c r="F133" s="166"/>
      <c r="G133" s="166"/>
      <c r="H133" s="166"/>
      <c r="I133" s="166"/>
      <c r="J133" s="166"/>
      <c r="K133" s="166"/>
      <c r="L133" s="166"/>
      <c r="M133" s="166"/>
      <c r="N133" s="166"/>
      <c r="O133" s="166"/>
      <c r="P133" s="166"/>
      <c r="Q133" s="166"/>
    </row>
    <row r="134" spans="1:17" s="167" customFormat="1" x14ac:dyDescent="0.2">
      <c r="A134" s="166"/>
      <c r="B134" s="166"/>
      <c r="C134" s="166"/>
      <c r="D134" s="166"/>
      <c r="E134" s="166"/>
      <c r="F134" s="166"/>
      <c r="G134" s="166"/>
      <c r="H134" s="166"/>
      <c r="I134" s="166"/>
      <c r="J134" s="166"/>
      <c r="K134" s="166"/>
      <c r="L134" s="166"/>
      <c r="M134" s="168"/>
      <c r="N134" s="166"/>
      <c r="O134" s="166"/>
      <c r="P134" s="166"/>
      <c r="Q134" s="166"/>
    </row>
    <row r="135" spans="1:17" s="167" customFormat="1" x14ac:dyDescent="0.2">
      <c r="A135" s="166"/>
      <c r="B135" s="166"/>
      <c r="C135" s="166"/>
      <c r="D135" s="166"/>
      <c r="E135" s="166"/>
      <c r="F135" s="166"/>
      <c r="G135" s="166"/>
      <c r="H135" s="166"/>
      <c r="I135" s="166"/>
      <c r="J135" s="166"/>
      <c r="K135" s="166"/>
      <c r="L135" s="166"/>
      <c r="M135" s="9"/>
      <c r="N135" s="166"/>
      <c r="O135" s="166"/>
      <c r="P135" s="166"/>
      <c r="Q135" s="166"/>
    </row>
    <row r="136" spans="1:17" s="167" customFormat="1" x14ac:dyDescent="0.2">
      <c r="A136" s="166"/>
      <c r="B136" s="166"/>
      <c r="C136" s="166"/>
      <c r="D136" s="166"/>
      <c r="E136" s="166"/>
      <c r="F136" s="166"/>
      <c r="G136" s="166"/>
      <c r="H136" s="166"/>
      <c r="I136" s="166"/>
      <c r="J136" s="166"/>
      <c r="K136" s="166"/>
      <c r="L136" s="166"/>
      <c r="M136" s="9"/>
      <c r="N136" s="166"/>
      <c r="O136" s="166"/>
      <c r="P136" s="166"/>
      <c r="Q136" s="166"/>
    </row>
    <row r="137" spans="1:17" s="167" customFormat="1" x14ac:dyDescent="0.2">
      <c r="A137" s="166"/>
      <c r="B137" s="166"/>
      <c r="C137" s="166"/>
      <c r="D137" s="166"/>
      <c r="E137" s="166"/>
      <c r="F137" s="166"/>
      <c r="G137" s="166"/>
      <c r="H137" s="166"/>
      <c r="I137" s="166"/>
      <c r="J137" s="166"/>
      <c r="K137" s="166"/>
      <c r="L137" s="166"/>
      <c r="M137" s="9"/>
      <c r="N137" s="168"/>
      <c r="O137" s="166"/>
      <c r="P137" s="166"/>
      <c r="Q137" s="166"/>
    </row>
    <row r="138" spans="1:17" s="167" customFormat="1" x14ac:dyDescent="0.2">
      <c r="A138" s="166"/>
      <c r="B138" s="166"/>
      <c r="C138" s="166"/>
      <c r="D138" s="166"/>
      <c r="E138" s="166"/>
      <c r="F138" s="166"/>
      <c r="G138" s="166"/>
      <c r="H138" s="166"/>
      <c r="I138" s="166"/>
      <c r="J138" s="166"/>
      <c r="K138" s="166"/>
      <c r="L138" s="166"/>
      <c r="M138" s="9"/>
      <c r="N138" s="9"/>
      <c r="O138" s="166"/>
      <c r="P138" s="166"/>
      <c r="Q138" s="166"/>
    </row>
    <row r="139" spans="1:17" s="169" customFormat="1" x14ac:dyDescent="0.2">
      <c r="A139" s="168"/>
      <c r="B139" s="168"/>
      <c r="C139" s="168"/>
      <c r="D139" s="168"/>
      <c r="E139" s="168"/>
      <c r="F139" s="168"/>
      <c r="G139" s="168"/>
      <c r="H139" s="168"/>
      <c r="I139" s="168"/>
      <c r="J139" s="168"/>
      <c r="K139" s="168"/>
      <c r="L139" s="168"/>
      <c r="M139" s="9"/>
      <c r="N139" s="9"/>
      <c r="O139" s="168"/>
      <c r="P139" s="168"/>
      <c r="Q139" s="168"/>
    </row>
    <row r="140" spans="1:17" x14ac:dyDescent="0.2">
      <c r="F140" s="9"/>
    </row>
    <row r="141" spans="1:17" x14ac:dyDescent="0.2">
      <c r="F141" s="9"/>
    </row>
  </sheetData>
  <scenarios current="34" show="34" sqref="D28">
    <scenario name="100% TPB - 6,5 nós" locked="1" count="4" user="Denis" comment="Criado por Denis em 21/01/2021_x000a_Alterado por Denis em 21/01/2021">
      <inputCells r="D11" val="2" numFmtId="177"/>
      <inputCells r="D12" val="2" numFmtId="166"/>
      <inputCells r="D13" val="1074" numFmtId="179"/>
      <inputCells r="D22" val="6,5" numFmtId="177"/>
    </scenario>
    <scenario name="100% TPB - 5,5 nós" locked="1" count="4" user="Denis" comment="Criado por Denis em 21/01/2021_x000a_Alterado por Denis em 21/01/2021">
      <inputCells r="D11" val="2" numFmtId="177"/>
      <inputCells r="D12" val="2" numFmtId="166"/>
      <inputCells r="D13" val="1074" numFmtId="179"/>
      <inputCells r="D22" val="5,5" numFmtId="177"/>
    </scenario>
    <scenario name="100% TPB - 6 nós" locked="1" count="4" user="Denis" comment="Criado por Denis em 21/01/2021">
      <inputCells r="D11" val="2" numFmtId="177"/>
      <inputCells r="D12" val="2" numFmtId="166"/>
      <inputCells r="D13" val="1074" numFmtId="179"/>
      <inputCells r="D22" val="6" numFmtId="177"/>
    </scenario>
    <scenario name="100% TPB - 7 nós" locked="1" count="4" user="Denis" comment="Criado por Denis em 21/01/2021">
      <inputCells r="D11" val="2" numFmtId="177"/>
      <inputCells r="D12" val="2" numFmtId="166"/>
      <inputCells r="D13" val="1074" numFmtId="179"/>
      <inputCells r="D22" val="7" numFmtId="177"/>
    </scenario>
    <scenario name="100% TPB - 7,5 nós" locked="1" count="4" user="Denis" comment="Criado por Denis em 21/01/2021">
      <inputCells r="D11" val="2" numFmtId="177"/>
      <inputCells r="D12" val="2" numFmtId="166"/>
      <inputCells r="D13" val="1074" numFmtId="179"/>
      <inputCells r="D22" val="7,5" numFmtId="177"/>
    </scenario>
    <scenario name="100% TPB - 8 nós" locked="1" count="4" user="Denis" comment="Criado por Denis em 21/01/2021">
      <inputCells r="D11" val="2" numFmtId="177"/>
      <inputCells r="D12" val="2" numFmtId="166"/>
      <inputCells r="D13" val="1074" numFmtId="179"/>
      <inputCells r="D22" val="8" numFmtId="177"/>
    </scenario>
    <scenario name="100% TPB - 8,5 nós" locked="1" count="4" user="Denis" comment="Criado por Denis em 21/01/2021">
      <inputCells r="D11" val="2" numFmtId="177"/>
      <inputCells r="D12" val="2" numFmtId="166"/>
      <inputCells r="D13" val="1074" numFmtId="179"/>
      <inputCells r="D22" val="8,5" numFmtId="177"/>
    </scenario>
    <scenario name="100% TPB - 9 nós" locked="1" count="4" user="Denis" comment="Criado por Denis em 21/01/2021">
      <inputCells r="D11" val="2" numFmtId="177"/>
      <inputCells r="D12" val="2" numFmtId="166"/>
      <inputCells r="D13" val="1074" numFmtId="179"/>
      <inputCells r="D22" val="9" numFmtId="177"/>
    </scenario>
    <scenario name="100% TPB - 9,5 nós" locked="1" count="4" user="Denis" comment="Criado por Denis em 21/01/2021">
      <inputCells r="D11" val="2" numFmtId="177"/>
      <inputCells r="D12" val="2" numFmtId="166"/>
      <inputCells r="D13" val="1074" numFmtId="179"/>
      <inputCells r="D22" val="9,5" numFmtId="177"/>
    </scenario>
    <scenario name="100% TPB - 10 nós" locked="1" count="4" user="Denis" comment="Criado por Denis em 21/01/2021">
      <inputCells r="D11" val="2" numFmtId="177"/>
      <inputCells r="D12" val="2" numFmtId="166"/>
      <inputCells r="D13" val="1074" numFmtId="179"/>
      <inputCells r="D22" val="10" numFmtId="177"/>
    </scenario>
    <scenario name="100% TPB - 10,5 nós" locked="1" count="4" user="Denis" comment="Criado por Denis em 21/01/2021">
      <inputCells r="D11" val="2" numFmtId="177"/>
      <inputCells r="D12" val="2" numFmtId="166"/>
      <inputCells r="D13" val="1074" numFmtId="179"/>
      <inputCells r="D22" val="10,5" numFmtId="177"/>
    </scenario>
    <scenario name="100% TPB - 11 nós" locked="1" count="4" user="Denis" comment="Criado por Denis em 21/01/2021_x000a_Alterado por Denis em 21/01/2021">
      <inputCells r="D11" val="2" numFmtId="177"/>
      <inputCells r="D12" val="2" numFmtId="166"/>
      <inputCells r="D13" val="1074" numFmtId="179"/>
      <inputCells r="D22" val="11" numFmtId="177"/>
    </scenario>
    <scenario name="100% TPB - 11,5 nós" locked="1" count="4" user="Denis" comment="Criado por Denis em 21/01/2021_x000a_Alterado por Denis em 21/01/2021">
      <inputCells r="D11" val="2" numFmtId="177"/>
      <inputCells r="D12" val="2" numFmtId="166"/>
      <inputCells r="D13" val="1074" numFmtId="179"/>
      <inputCells r="D22" val="11,5" numFmtId="177"/>
    </scenario>
    <scenario name="100% TPB - 12 nós" locked="1" count="4" user="Denis" comment="Criado por Denis em 21/01/2021">
      <inputCells r="D11" val="2" numFmtId="177"/>
      <inputCells r="D12" val="2" numFmtId="166"/>
      <inputCells r="D13" val="1074" numFmtId="179"/>
      <inputCells r="D22" val="12" numFmtId="177"/>
    </scenario>
    <scenario name="100% TPB - 12,5 nós" locked="1" count="4" user="Denis" comment="Criado por Denis em 21/01/2021">
      <inputCells r="D11" val="2" numFmtId="177"/>
      <inputCells r="D12" val="2" numFmtId="166"/>
      <inputCells r="D13" val="1074" numFmtId="179"/>
      <inputCells r="D22" val="12,5" numFmtId="177"/>
    </scenario>
    <scenario name="100% TPB - 13 nós" locked="1" count="4" user="Denis" comment="Criado por Denis em 21/01/2021">
      <inputCells r="D11" val="2" numFmtId="177"/>
      <inputCells r="D12" val="2" numFmtId="166"/>
      <inputCells r="D13" val="1074" numFmtId="179"/>
      <inputCells r="D22" val="13" numFmtId="177"/>
    </scenario>
    <scenario name="100% TPB - 13,5 nós" locked="1" count="4" user="Denis" comment="Criado por Denis em 21/01/2021">
      <inputCells r="D11" val="2" numFmtId="177"/>
      <inputCells r="D12" val="2" numFmtId="166"/>
      <inputCells r="D13" val="1074" numFmtId="179"/>
      <inputCells r="D22" val="13,5" numFmtId="177"/>
    </scenario>
    <scenario name="100% TPB - 14 nós" locked="1" count="4" user="Denis" comment="Criado por Denis em 21/01/2021">
      <inputCells r="D11" val="2" numFmtId="177"/>
      <inputCells r="D12" val="2" numFmtId="166"/>
      <inputCells r="D13" val="1074" numFmtId="179"/>
      <inputCells r="D22" val="14,5" numFmtId="177"/>
    </scenario>
    <scenario name="100% TPB - 14,5 nós" locked="1" count="4" user="Denis" comment="Criado por Denis em 21/01/2021_x000a_Alterado por Denis em 21/01/2021">
      <inputCells r="D11" val="2" numFmtId="177"/>
      <inputCells r="D12" val="2" numFmtId="166"/>
      <inputCells r="D13" val="1074" numFmtId="179"/>
      <inputCells r="D22" val="14,5" numFmtId="177"/>
    </scenario>
    <scenario name="100% TPB - 15 nós" locked="1" count="4" user="Denis" comment="Criado por Denis em 21/01/2021">
      <inputCells r="D11" val="2" numFmtId="177"/>
      <inputCells r="D12" val="2" numFmtId="166"/>
      <inputCells r="D13" val="1074" numFmtId="179"/>
      <inputCells r="D22" val="15" numFmtId="177"/>
    </scenario>
    <scenario name="100% TPB - 15,5 nós" locked="1" count="4" user="Denis" comment="Criado por Denis em 21/01/2021">
      <inputCells r="D11" val="2" numFmtId="177"/>
      <inputCells r="D12" val="2" numFmtId="166"/>
      <inputCells r="D13" val="1074" numFmtId="179"/>
      <inputCells r="D22" val="15,5" numFmtId="177"/>
    </scenario>
    <scenario name="100% TPB - 16 nós" locked="1" count="4" user="Denis" comment="Criado por Denis em 21/01/2021">
      <inputCells r="D11" val="2" numFmtId="177"/>
      <inputCells r="D12" val="2" numFmtId="166"/>
      <inputCells r="D13" val="1074" numFmtId="179"/>
      <inputCells r="D22" val="16" numFmtId="177"/>
    </scenario>
    <scenario name="75% TPB - 5,5 nós" locked="1" count="4" user="Denis" comment="Criado por Denis em 21/01/2021">
      <inputCells r="D11" val="1,885" numFmtId="177"/>
      <inputCells r="D12" val="1,885" numFmtId="166"/>
      <inputCells r="D13" val="997,5" numFmtId="179"/>
      <inputCells r="D22" val="5,5" numFmtId="177"/>
    </scenario>
    <scenario name="75% TPB - 6 nós" locked="1" count="4" user="Denis" comment="Criado por Denis em 21/01/2021">
      <inputCells r="D11" val="1,885" numFmtId="177"/>
      <inputCells r="D12" val="1,885" numFmtId="166"/>
      <inputCells r="D13" val="997,5" numFmtId="179"/>
      <inputCells r="D22" val="6" numFmtId="177"/>
    </scenario>
    <scenario name="75% TPB - 6,5 nós" locked="1" count="4" user="Denis" comment="Criado por Denis em 21/01/2021">
      <inputCells r="D11" val="1,885" numFmtId="177"/>
      <inputCells r="D12" val="1,885" numFmtId="166"/>
      <inputCells r="D13" val="997,5" numFmtId="179"/>
      <inputCells r="D22" val="6,5" numFmtId="177"/>
    </scenario>
    <scenario name="75% TPB - 7 nós" locked="1" count="4" user="Denis" comment="Criado por Denis em 21/01/2021">
      <inputCells r="D11" val="1,885" numFmtId="177"/>
      <inputCells r="D12" val="1,885" numFmtId="166"/>
      <inputCells r="D13" val="997,5" numFmtId="179"/>
      <inputCells r="D22" val="7" numFmtId="177"/>
    </scenario>
    <scenario name="75% TPB - 7,5 nós" locked="1" count="4" user="Denis" comment="Criado por Denis em 21/01/2021">
      <inputCells r="D11" val="1,885" numFmtId="177"/>
      <inputCells r="D12" val="1,885" numFmtId="166"/>
      <inputCells r="D13" val="997,5" numFmtId="179"/>
      <inputCells r="D22" val="7,5" numFmtId="177"/>
    </scenario>
    <scenario name="75% TPB - 8 nós" locked="1" count="4" user="Denis" comment="Criado por Denis em 21/01/2021">
      <inputCells r="D11" val="1,885" numFmtId="177"/>
      <inputCells r="D12" val="1,885" numFmtId="166"/>
      <inputCells r="D13" val="997,5" numFmtId="179"/>
      <inputCells r="D22" val="8" numFmtId="177"/>
    </scenario>
    <scenario name="75% TPB - 8,5 nós" locked="1" count="4" user="Denis" comment="Criado por Denis em 21/01/2021">
      <inputCells r="D11" val="1,885" numFmtId="177"/>
      <inputCells r="D12" val="1,885" numFmtId="166"/>
      <inputCells r="D13" val="997,5" numFmtId="179"/>
      <inputCells r="D22" val="8,5" numFmtId="177"/>
    </scenario>
    <scenario name="75% TPB - 9 nós" locked="1" count="4" user="Denis" comment="Criado por Denis em 21/01/2021">
      <inputCells r="D11" val="1,885" numFmtId="177"/>
      <inputCells r="D12" val="1,885" numFmtId="166"/>
      <inputCells r="D13" val="997,5" numFmtId="179"/>
      <inputCells r="D22" val="9" numFmtId="177"/>
    </scenario>
    <scenario name="75% TPB - 9,5 nós" locked="1" count="4" user="Denis" comment="Criado por Denis em 21/01/2021">
      <inputCells r="D11" val="1,885" numFmtId="177"/>
      <inputCells r="D12" val="1,885" numFmtId="166"/>
      <inputCells r="D13" val="997,5" numFmtId="179"/>
      <inputCells r="D22" val="9,5" numFmtId="177"/>
    </scenario>
    <scenario name="75% TPB - 10 nós" locked="1" count="4" user="Denis" comment="Criado por Denis em 21/01/2021">
      <inputCells r="D11" val="1,885" numFmtId="177"/>
      <inputCells r="D12" val="1,885" numFmtId="166"/>
      <inputCells r="D13" val="997,5" numFmtId="179"/>
      <inputCells r="D22" val="10" numFmtId="177"/>
    </scenario>
    <scenario name="75% TPB - 10,5 nós" locked="1" count="4" user="Denis" comment="Criado por Denis em 21/01/2021">
      <inputCells r="D11" val="1,885" numFmtId="177"/>
      <inputCells r="D12" val="1,885" numFmtId="166"/>
      <inputCells r="D13" val="997,5" numFmtId="179"/>
      <inputCells r="D22" val="10,5" numFmtId="177"/>
    </scenario>
    <scenario name="75% TPB - 11 nós" locked="1" count="4" user="Denis" comment="Criado por Denis em 21/01/2021">
      <inputCells r="D11" val="1,885" numFmtId="177"/>
      <inputCells r="D12" val="1,885" numFmtId="166"/>
      <inputCells r="D13" val="997,5" numFmtId="179"/>
      <inputCells r="D22" val="11" numFmtId="177"/>
    </scenario>
    <scenario name="75% TPB - 11,5 nós" locked="1" count="4" user="Denis" comment="Criado por Denis em 21/01/2021_x000a_Alterado por Denis em 21/01/2021">
      <inputCells r="D11" val="1,885" numFmtId="177"/>
      <inputCells r="D12" val="1,885" numFmtId="166"/>
      <inputCells r="D13" val="997,5" numFmtId="179"/>
      <inputCells r="D22" val="11,5" numFmtId="177"/>
    </scenario>
    <scenario name="75% TPB - 12 nós" locked="1" count="4" user="Denis" comment="Criado por Denis em 21/01/2021_x000a_Alterado por Denis em 21/01/2021">
      <inputCells r="D11" val="1,885" numFmtId="177"/>
      <inputCells r="D12" val="1,885" numFmtId="166"/>
      <inputCells r="D13" val="997,5" numFmtId="179"/>
      <inputCells r="D22" val="12" numFmtId="177"/>
    </scenario>
    <scenario name="75% TPB - 12,5 nós" locked="1" count="4" user="Denis" comment="Criado por Denis em 21/01/2021">
      <inputCells r="D11" val="1,885" numFmtId="177"/>
      <inputCells r="D12" val="1,885" numFmtId="166"/>
      <inputCells r="D13" val="997,5" numFmtId="179"/>
      <inputCells r="D22" val="12,5" numFmtId="177"/>
    </scenario>
    <scenario name="75% TPB - 13 nós" locked="1" count="4" user="Denis" comment="Criado por Denis em 21/01/2021">
      <inputCells r="D11" val="1,885" numFmtId="177"/>
      <inputCells r="D12" val="1,885" numFmtId="166"/>
      <inputCells r="D13" val="997,5" numFmtId="179"/>
      <inputCells r="D22" val="13" numFmtId="177"/>
    </scenario>
    <scenario name="75% TPB - 13,5 nós" locked="1" count="4" user="Denis" comment="Criado por Denis em 21/01/2021">
      <inputCells r="D11" val="1,885" numFmtId="177"/>
      <inputCells r="D12" val="1,885" numFmtId="166"/>
      <inputCells r="D13" val="997,5" numFmtId="179"/>
      <inputCells r="D22" val="13,5" numFmtId="177"/>
    </scenario>
    <scenario name="75% TPB - 14 nós" locked="1" count="4" user="Denis" comment="Criado por Denis em 21/01/2021">
      <inputCells r="D11" val="1,885" numFmtId="177"/>
      <inputCells r="D12" val="1,885" numFmtId="166"/>
      <inputCells r="D13" val="997,5" numFmtId="179"/>
      <inputCells r="D22" val="14" numFmtId="177"/>
    </scenario>
    <scenario name="75% TPB - 14,5 nós" locked="1" count="4" user="Denis" comment="Criado por Denis em 21/01/2021">
      <inputCells r="D11" val="1,885" numFmtId="177"/>
      <inputCells r="D12" val="1,885" numFmtId="166"/>
      <inputCells r="D13" val="997,5" numFmtId="179"/>
      <inputCells r="D22" val="14,5" numFmtId="177"/>
    </scenario>
    <scenario name="75% TPB - 15 nós" locked="1" count="4" user="Denis" comment="Criado por Denis em 21/01/2021">
      <inputCells r="D11" val="1,885" numFmtId="177"/>
      <inputCells r="D12" val="1,885" numFmtId="166"/>
      <inputCells r="D13" val="997,5" numFmtId="179"/>
      <inputCells r="D22" val="15" numFmtId="177"/>
    </scenario>
    <scenario name="75% TPB - 15,5 nós" locked="1" count="4" user="Denis" comment="Criado por Denis em 21/01/2021">
      <inputCells r="D11" val="1,885" numFmtId="177"/>
      <inputCells r="D12" val="1,885" numFmtId="166"/>
      <inputCells r="D13" val="997,5" numFmtId="179"/>
      <inputCells r="D22" val="15,5" numFmtId="177"/>
    </scenario>
    <scenario name="75% TPB - 16 nós" locked="1" count="4" user="Denis" comment="Criado por Denis em 21/01/2021">
      <inputCells r="D11" val="1,885" numFmtId="177"/>
      <inputCells r="D12" val="1,885" numFmtId="166"/>
      <inputCells r="D13" val="997,5" numFmtId="179"/>
      <inputCells r="D22" val="16" numFmtId="177"/>
    </scenario>
    <scenario name="50% TPB - 5,5 nós" locked="1" count="4" user="Denis" comment="Criado por Denis em 21/01/2021_x000a_Alterado por Denis em 21/01/2021">
      <inputCells r="D11" val="1,77" numFmtId="177"/>
      <inputCells r="D12" val="1,77" numFmtId="166"/>
      <inputCells r="D13" val="921" numFmtId="179"/>
      <inputCells r="D22" val="5,5" numFmtId="177"/>
    </scenario>
    <scenario name="50% TPB - 6 nós" locked="1" count="4" user="Denis" comment="Criado por Denis em 21/01/2021">
      <inputCells r="D11" val="1,77" numFmtId="177"/>
      <inputCells r="D12" val="1,77" numFmtId="166"/>
      <inputCells r="D13" val="921" numFmtId="179"/>
      <inputCells r="D22" val="6" numFmtId="177"/>
    </scenario>
    <scenario name="50% TPB - 6,5 nós" locked="1" count="4" user="Denis" comment="Criado por Denis em 21/01/2021">
      <inputCells r="D11" val="1,77" numFmtId="177"/>
      <inputCells r="D12" val="1,77" numFmtId="166"/>
      <inputCells r="D13" val="921" numFmtId="179"/>
      <inputCells r="D22" val="6,5" numFmtId="177"/>
    </scenario>
    <scenario name="50% TPB - 7 nós" locked="1" count="4" user="Denis" comment="Criado por Denis em 21/01/2021">
      <inputCells r="D11" val="1,77" numFmtId="177"/>
      <inputCells r="D12" val="1,77" numFmtId="166"/>
      <inputCells r="D13" val="921" numFmtId="179"/>
      <inputCells r="D22" val="7" numFmtId="177"/>
    </scenario>
    <scenario name="50% TPB - 7,5 nós" locked="1" count="4" user="Denis" comment="Criado por Denis em 21/01/2021">
      <inputCells r="D11" val="1,77" numFmtId="177"/>
      <inputCells r="D12" val="1,77" numFmtId="166"/>
      <inputCells r="D13" val="921" numFmtId="179"/>
      <inputCells r="D22" val="7,5" numFmtId="177"/>
    </scenario>
    <scenario name="50% TPB - 8 nós" locked="1" count="4" user="Denis" comment="Criado por Denis em 21/01/2021">
      <inputCells r="D11" val="1,77" numFmtId="177"/>
      <inputCells r="D12" val="1,77" numFmtId="166"/>
      <inputCells r="D13" val="921" numFmtId="179"/>
      <inputCells r="D22" val="8" numFmtId="177"/>
    </scenario>
    <scenario name="50% TPB - 8,5 nós" locked="1" count="4" user="Denis" comment="Criado por Denis em 21/01/2021">
      <inputCells r="D11" val="1,77" numFmtId="177"/>
      <inputCells r="D12" val="1,77" numFmtId="166"/>
      <inputCells r="D13" val="921" numFmtId="179"/>
      <inputCells r="D22" val="8,5" numFmtId="177"/>
    </scenario>
    <scenario name="50% TPB - 9 nós" locked="1" count="4" user="Denis" comment="Criado por Denis em 21/01/2021">
      <inputCells r="D11" val="1,77" numFmtId="177"/>
      <inputCells r="D12" val="1,77" numFmtId="166"/>
      <inputCells r="D13" val="921" numFmtId="179"/>
      <inputCells r="D22" val="9" numFmtId="177"/>
    </scenario>
    <scenario name="50% TPB - 9,5 nós" locked="1" count="4" user="Denis" comment="Criado por Denis em 21/01/2021">
      <inputCells r="D11" val="1,77" numFmtId="177"/>
      <inputCells r="D12" val="1,77" numFmtId="166"/>
      <inputCells r="D13" val="921" numFmtId="179"/>
      <inputCells r="D22" val="9,5" numFmtId="177"/>
    </scenario>
    <scenario name="50% TPB - 10 nós" locked="1" count="4" user="Denis" comment="Criado por Denis em 21/01/2021">
      <inputCells r="D11" val="1,77" numFmtId="177"/>
      <inputCells r="D12" val="1,77" numFmtId="166"/>
      <inputCells r="D13" val="921" numFmtId="179"/>
      <inputCells r="D22" val="10" numFmtId="177"/>
    </scenario>
    <scenario name="50% TPB - 10,5 nós" locked="1" count="4" user="Denis" comment="Criado por Denis em 21/01/2021">
      <inputCells r="D11" val="1,77" numFmtId="177"/>
      <inputCells r="D12" val="1,77" numFmtId="166"/>
      <inputCells r="D13" val="921" numFmtId="179"/>
      <inputCells r="D22" val="10,5" numFmtId="177"/>
    </scenario>
    <scenario name="50% TPB - 11 nós" locked="1" count="4" user="Denis" comment="Criado por Denis em 21/01/2021">
      <inputCells r="D11" val="1,77" numFmtId="177"/>
      <inputCells r="D12" val="1,77" numFmtId="166"/>
      <inputCells r="D13" val="921" numFmtId="179"/>
      <inputCells r="D22" val="11" numFmtId="177"/>
    </scenario>
    <scenario name="50% TPB - 11,5 nós" locked="1" count="4" user="Denis" comment="Criado por Denis em 21/01/2021">
      <inputCells r="D11" val="1,77" numFmtId="177"/>
      <inputCells r="D12" val="1,77" numFmtId="166"/>
      <inputCells r="D13" val="921" numFmtId="179"/>
      <inputCells r="D22" val="11,5" numFmtId="177"/>
    </scenario>
    <scenario name="50% TPB - 12 nós" locked="1" count="4" user="Denis" comment="Criado por Denis em 21/01/2021">
      <inputCells r="D11" val="1,77" numFmtId="177"/>
      <inputCells r="D12" val="1,77" numFmtId="166"/>
      <inputCells r="D13" val="921" numFmtId="179"/>
      <inputCells r="D22" val="12" numFmtId="177"/>
    </scenario>
    <scenario name="50% TPB - 12,5 nós" locked="1" count="4" user="Denis" comment="Criado por Denis em 21/01/2021">
      <inputCells r="D11" val="1,77" numFmtId="177"/>
      <inputCells r="D12" val="1,77" numFmtId="166"/>
      <inputCells r="D13" val="921" numFmtId="179"/>
      <inputCells r="D22" val="12,5" numFmtId="177"/>
    </scenario>
    <scenario name="50% TPB - 13 nós" locked="1" count="4" user="Denis" comment="Criado por Denis em 21/01/2021">
      <inputCells r="D11" val="1,77" numFmtId="177"/>
      <inputCells r="D12" val="1,77" numFmtId="166"/>
      <inputCells r="D13" val="921" numFmtId="179"/>
      <inputCells r="D22" val="13" numFmtId="177"/>
    </scenario>
    <scenario name="50% TPB - 13,5 nós" locked="1" count="4" user="Denis" comment="Criado por Denis em 21/01/2021">
      <inputCells r="D11" val="1,77" numFmtId="177"/>
      <inputCells r="D12" val="1,77" numFmtId="166"/>
      <inputCells r="D13" val="921" numFmtId="179"/>
      <inputCells r="D22" val="13,5" numFmtId="177"/>
    </scenario>
    <scenario name="50% TPB - 14 nós" locked="1" count="4" user="Denis" comment="Criado por Denis em 21/01/2021">
      <inputCells r="D11" val="1,77" numFmtId="177"/>
      <inputCells r="D12" val="1,77" numFmtId="166"/>
      <inputCells r="D13" val="921" numFmtId="179"/>
      <inputCells r="D22" val="14" numFmtId="177"/>
    </scenario>
    <scenario name="50% TPB - 14,5 nós" locked="1" count="4" user="Denis" comment="Criado por Denis em 21/01/2021">
      <inputCells r="D11" val="1,77" numFmtId="177"/>
      <inputCells r="D12" val="1,77" numFmtId="166"/>
      <inputCells r="D13" val="921" numFmtId="179"/>
      <inputCells r="D22" val="14,5" numFmtId="177"/>
    </scenario>
    <scenario name="50% TPB - 15 nós" locked="1" count="4" user="Denis" comment="Criado por Denis em 21/01/2021">
      <inputCells r="D11" val="1,77" numFmtId="177"/>
      <inputCells r="D12" val="1,77" numFmtId="166"/>
      <inputCells r="D13" val="921" numFmtId="179"/>
      <inputCells r="D22" val="15" numFmtId="177"/>
    </scenario>
    <scenario name="50% TPB - 15,5 nós" locked="1" count="4" user="Denis" comment="Criado por Denis em 21/01/2021">
      <inputCells r="D11" val="1,77" numFmtId="177"/>
      <inputCells r="D12" val="1,77" numFmtId="166"/>
      <inputCells r="D13" val="921" numFmtId="179"/>
      <inputCells r="D22" val="15,5" numFmtId="177"/>
    </scenario>
    <scenario name="50% TPB - 16 nós" locked="1" count="4" user="Denis" comment="Criado por Denis em 21/01/2021">
      <inputCells r="D11" val="1,77" numFmtId="177"/>
      <inputCells r="D12" val="1,77" numFmtId="166"/>
      <inputCells r="D13" val="921" numFmtId="179"/>
      <inputCells r="D22" val="16" numFmtId="177"/>
    </scenario>
    <scenario name="25% TPB - 5,5 nós" locked="1" count="4" user="Denis" comment="Criado por Denis em 21/01/2021_x000a_Alterado por Denis em 21/01/2021">
      <inputCells r="D11" val="1,65" numFmtId="177"/>
      <inputCells r="D12" val="1,65" numFmtId="166"/>
      <inputCells r="D13" val="844,5" numFmtId="179"/>
      <inputCells r="D22" val="5,5" numFmtId="177"/>
    </scenario>
    <scenario name="25% TPB - 6 nós" locked="1" count="4" user="Denis" comment="Criado por Denis em 21/01/2021">
      <inputCells r="D11" val="1,65" numFmtId="177"/>
      <inputCells r="D12" val="1,65" numFmtId="166"/>
      <inputCells r="D13" val="844,5" numFmtId="179"/>
      <inputCells r="D22" val="6" numFmtId="177"/>
    </scenario>
    <scenario name="25% TPB - 6,5 nós" locked="1" count="4" user="Denis" comment="Criado por Denis em 21/01/2021">
      <inputCells r="D11" val="1,65" numFmtId="177"/>
      <inputCells r="D12" val="1,65" numFmtId="166"/>
      <inputCells r="D13" val="844,5" numFmtId="179"/>
      <inputCells r="D22" val="6,5" numFmtId="177"/>
    </scenario>
    <scenario name="25% TPB - 7 nós" locked="1" count="4" user="Denis" comment="Criado por Denis em 21/01/2021">
      <inputCells r="D11" val="1,65" numFmtId="177"/>
      <inputCells r="D12" val="1,65" numFmtId="166"/>
      <inputCells r="D13" val="844,5" numFmtId="179"/>
      <inputCells r="D22" val="7" numFmtId="177"/>
    </scenario>
    <scenario name="25% TPB - 7,5 nós" locked="1" count="4" user="Denis" comment="Criado por Denis em 21/01/2021">
      <inputCells r="D11" val="1,65" numFmtId="177"/>
      <inputCells r="D12" val="1,65" numFmtId="166"/>
      <inputCells r="D13" val="844,5" numFmtId="179"/>
      <inputCells r="D22" val="7,5" numFmtId="177"/>
    </scenario>
    <scenario name="25% TPB - 8 nós" locked="1" count="4" user="Denis" comment="Criado por Denis em 21/01/2021">
      <inputCells r="D11" val="1,65" numFmtId="177"/>
      <inputCells r="D12" val="1,65" numFmtId="166"/>
      <inputCells r="D13" val="844,5" numFmtId="179"/>
      <inputCells r="D22" val="8" numFmtId="177"/>
    </scenario>
    <scenario name="25% TPB - 8,5 nós" locked="1" count="4" user="Denis" comment="Criado por Denis em 21/01/2021">
      <inputCells r="D11" val="1,65" numFmtId="177"/>
      <inputCells r="D12" val="1,65" numFmtId="166"/>
      <inputCells r="D13" val="844,5" numFmtId="179"/>
      <inputCells r="D22" val="8,5" numFmtId="177"/>
    </scenario>
    <scenario name="25% TPB - 9 nós" locked="1" count="4" user="Denis" comment="Criado por Denis em 21/01/2021">
      <inputCells r="D11" val="1,65" numFmtId="177"/>
      <inputCells r="D12" val="1,65" numFmtId="166"/>
      <inputCells r="D13" val="844,5" numFmtId="179"/>
      <inputCells r="D22" val="9" numFmtId="177"/>
    </scenario>
    <scenario name="25% TPB - 9,5 nós" locked="1" count="4" user="Denis" comment="Criado por Denis em 21/01/2021">
      <inputCells r="D11" val="1,65" numFmtId="177"/>
      <inputCells r="D12" val="1,65" numFmtId="166"/>
      <inputCells r="D13" val="844,5" numFmtId="179"/>
      <inputCells r="D22" val="9,5" numFmtId="177"/>
    </scenario>
    <scenario name="25% TPB - 10 nós" locked="1" count="4" user="Denis" comment="Criado por Denis em 21/01/2021">
      <inputCells r="D11" val="1,65" numFmtId="177"/>
      <inputCells r="D12" val="1,65" numFmtId="166"/>
      <inputCells r="D13" val="844,5" numFmtId="179"/>
      <inputCells r="D22" val="10" numFmtId="177"/>
    </scenario>
    <scenario name="25% TPB - 10,5 nós" locked="1" count="4" user="Denis" comment="Criado por Denis em 21/01/2021">
      <inputCells r="D11" val="1,65" numFmtId="177"/>
      <inputCells r="D12" val="1,65" numFmtId="166"/>
      <inputCells r="D13" val="844,5" numFmtId="179"/>
      <inputCells r="D22" val="10,5" numFmtId="177"/>
    </scenario>
    <scenario name="25% TPB - 11 nós" locked="1" count="4" user="Denis" comment="Criado por Denis em 21/01/2021">
      <inputCells r="D11" val="1,65" numFmtId="177"/>
      <inputCells r="D12" val="1,65" numFmtId="166"/>
      <inputCells r="D13" val="844,5" numFmtId="179"/>
      <inputCells r="D22" val="11" numFmtId="177"/>
    </scenario>
    <scenario name="25% TPB - 11,5 nós" locked="1" count="4" user="Denis" comment="Criado por Denis em 21/01/2021">
      <inputCells r="D11" val="1,65" numFmtId="177"/>
      <inputCells r="D12" val="1,65" numFmtId="166"/>
      <inputCells r="D13" val="844,5" numFmtId="179"/>
      <inputCells r="D22" val="11,5" numFmtId="177"/>
    </scenario>
    <scenario name="25% TPB - 12 nós" locked="1" count="4" user="Denis" comment="Criado por Denis em 21/01/2021">
      <inputCells r="D11" val="1,65" numFmtId="177"/>
      <inputCells r="D12" val="1,65" numFmtId="166"/>
      <inputCells r="D13" val="844,5" numFmtId="179"/>
      <inputCells r="D22" val="12" numFmtId="177"/>
    </scenario>
    <scenario name="25% TPB - 12,5 nós" locked="1" count="4" user="Denis" comment="Criado por Denis em 21/01/2021">
      <inputCells r="D11" val="1,65" numFmtId="177"/>
      <inputCells r="D12" val="1,65" numFmtId="166"/>
      <inputCells r="D13" val="844,5" numFmtId="179"/>
      <inputCells r="D22" val="12,5" numFmtId="177"/>
    </scenario>
    <scenario name="25% TPB - 13 nós" locked="1" count="4" user="Denis" comment="Criado por Denis em 21/01/2021">
      <inputCells r="D11" val="1,65" numFmtId="177"/>
      <inputCells r="D12" val="1,65" numFmtId="166"/>
      <inputCells r="D13" val="844,5" numFmtId="179"/>
      <inputCells r="D22" val="13" numFmtId="177"/>
    </scenario>
    <scenario name="25% TPB - 13,5 nós" locked="1" count="4" user="Denis" comment="Criado por Denis em 21/01/2021">
      <inputCells r="D11" val="1,65" numFmtId="177"/>
      <inputCells r="D12" val="1,65" numFmtId="166"/>
      <inputCells r="D13" val="844,5" numFmtId="179"/>
      <inputCells r="D22" val="13,5" numFmtId="177"/>
    </scenario>
    <scenario name="25% TPB - 14 nós" locked="1" count="4" user="Denis" comment="Criado por Denis em 21/01/2021">
      <inputCells r="D11" val="1,65" numFmtId="177"/>
      <inputCells r="D12" val="1,65" numFmtId="166"/>
      <inputCells r="D13" val="844,5" numFmtId="179"/>
      <inputCells r="D22" val="14" numFmtId="177"/>
    </scenario>
    <scenario name="25% TPB - 14,5 nós" locked="1" count="4" user="Denis" comment="Criado por Denis em 21/01/2021">
      <inputCells r="D11" val="1,65" numFmtId="177"/>
      <inputCells r="D12" val="1,65" numFmtId="166"/>
      <inputCells r="D13" val="844,5" numFmtId="179"/>
      <inputCells r="D22" val="14,5" numFmtId="177"/>
    </scenario>
    <scenario name="25% TPB - 15 nós" locked="1" count="4" user="Denis" comment="Criado por Denis em 21/01/2021">
      <inputCells r="D11" val="1,65" numFmtId="177"/>
      <inputCells r="D12" val="1,65" numFmtId="166"/>
      <inputCells r="D13" val="844,5" numFmtId="179"/>
      <inputCells r="D22" val="15" numFmtId="177"/>
    </scenario>
    <scenario name="25% TPB - 15,5 nós" locked="1" count="4" user="Denis" comment="Criado por Denis em 21/01/2021">
      <inputCells r="D11" val="1,65" numFmtId="177"/>
      <inputCells r="D12" val="1,65" numFmtId="166"/>
      <inputCells r="D13" val="844,5" numFmtId="179"/>
      <inputCells r="D22" val="15,5" numFmtId="177"/>
    </scenario>
    <scenario name="25% TPB - 16 nós" locked="1" count="4" user="Denis" comment="Criado por Denis em 21/01/2021">
      <inputCells r="D11" val="1,65" numFmtId="177"/>
      <inputCells r="D12" val="1,65" numFmtId="166"/>
      <inputCells r="D13" val="844,5" numFmtId="179"/>
      <inputCells r="D22" val="16" numFmtId="177"/>
    </scenario>
  </scenarios>
  <printOptions gridLinesSet="0"/>
  <pageMargins left="0.78740157499999996" right="0.78740157499999996" top="0.984251969" bottom="0.984251969" header="0.49212598499999999" footer="0.49212598499999999"/>
  <pageSetup scale="80" orientation="portrait" horizontalDpi="300" verticalDpi="180" copies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335B2C-5DF8-4209-925B-ACDDD03F3D79}">
  <dimension ref="A1:J91"/>
  <sheetViews>
    <sheetView topLeftCell="A28" zoomScale="70" zoomScaleNormal="70" workbookViewId="0">
      <selection activeCell="J18" sqref="J18"/>
    </sheetView>
  </sheetViews>
  <sheetFormatPr defaultRowHeight="12.75" x14ac:dyDescent="0.2"/>
  <cols>
    <col min="1" max="2" width="20.85546875" customWidth="1"/>
    <col min="3" max="3" width="17.42578125" customWidth="1"/>
    <col min="4" max="4" width="20.85546875" customWidth="1"/>
    <col min="5" max="5" width="22.28515625" customWidth="1"/>
    <col min="6" max="6" width="10.140625" bestFit="1" customWidth="1"/>
    <col min="7" max="7" width="12.42578125" customWidth="1"/>
    <col min="8" max="8" width="11.42578125" customWidth="1"/>
    <col min="9" max="9" width="24.7109375" customWidth="1"/>
    <col min="10" max="10" width="23.5703125" customWidth="1"/>
  </cols>
  <sheetData>
    <row r="1" spans="1:10" ht="24" customHeight="1" x14ac:dyDescent="0.2">
      <c r="A1" s="402" t="s">
        <v>261</v>
      </c>
      <c r="B1" s="403">
        <v>306</v>
      </c>
      <c r="C1" s="427" t="s">
        <v>262</v>
      </c>
      <c r="D1" s="427"/>
      <c r="E1" s="427"/>
      <c r="F1" s="427"/>
      <c r="G1" s="427"/>
      <c r="H1" s="427"/>
      <c r="I1" s="427"/>
      <c r="J1" s="427"/>
    </row>
    <row r="2" spans="1:10" ht="24" customHeight="1" x14ac:dyDescent="0.2">
      <c r="A2" s="402" t="s">
        <v>260</v>
      </c>
      <c r="B2" s="403">
        <v>768</v>
      </c>
      <c r="C2" s="427"/>
      <c r="D2" s="427"/>
      <c r="E2" s="427"/>
      <c r="F2" s="427"/>
      <c r="G2" s="427"/>
      <c r="H2" s="427"/>
      <c r="I2" s="427"/>
      <c r="J2" s="427"/>
    </row>
    <row r="3" spans="1:10" ht="54" customHeight="1" x14ac:dyDescent="0.2">
      <c r="A3" s="398" t="s">
        <v>258</v>
      </c>
      <c r="B3" s="398" t="s">
        <v>257</v>
      </c>
      <c r="C3" s="398" t="s">
        <v>259</v>
      </c>
      <c r="D3" s="397" t="s">
        <v>252</v>
      </c>
      <c r="E3" s="397" t="s">
        <v>254</v>
      </c>
      <c r="F3" s="398" t="s">
        <v>249</v>
      </c>
      <c r="G3" s="398" t="s">
        <v>250</v>
      </c>
      <c r="H3" s="398" t="s">
        <v>251</v>
      </c>
      <c r="I3" s="397" t="s">
        <v>255</v>
      </c>
      <c r="J3" s="397" t="s">
        <v>256</v>
      </c>
    </row>
    <row r="4" spans="1:10" ht="13.5" x14ac:dyDescent="0.2">
      <c r="A4" s="404">
        <v>1</v>
      </c>
      <c r="B4" s="405" cm="1">
        <f t="array" ref="B4">SUM(Deslocamento_leve,TPB*Tabela1[[#This Row],[% TPB]])</f>
        <v>1074</v>
      </c>
      <c r="C4" s="406">
        <v>2</v>
      </c>
      <c r="D4" s="423">
        <v>5.5</v>
      </c>
      <c r="E4" s="407">
        <v>10.76</v>
      </c>
      <c r="F4" s="405">
        <f>PRODUCT(Tabela1[[#This Row],[Resitência ao avanço (kN)]],1.15,Tabela1[[#This Row],[Velocidade (nós)]],0.514)</f>
        <v>34.981297999999995</v>
      </c>
      <c r="G4" s="419">
        <f>Tabela1[[#This Row],[EHP]]/0.55</f>
        <v>63.602359999999983</v>
      </c>
      <c r="H4" s="405">
        <f>PRODUCT(Tabela1[[#This Row],[BHP]],1.2)</f>
        <v>76.322831999999977</v>
      </c>
      <c r="I4" s="405">
        <v>2</v>
      </c>
      <c r="J4" s="405">
        <f>ROUNDDOWN(PRODUCT(Tabela1[[#This Row],[Viagens Redondas (30 dias)]],365/30),2)</f>
        <v>24.33</v>
      </c>
    </row>
    <row r="5" spans="1:10" ht="13.5" x14ac:dyDescent="0.2">
      <c r="A5" s="404">
        <v>1</v>
      </c>
      <c r="B5" s="405" cm="1">
        <f t="array" ref="B5">SUM(Deslocamento_leve,TPB*Tabela1[[#This Row],[% TPB]])</f>
        <v>1074</v>
      </c>
      <c r="C5" s="406">
        <v>2</v>
      </c>
      <c r="D5" s="423">
        <v>6</v>
      </c>
      <c r="E5" s="407">
        <v>12.82</v>
      </c>
      <c r="F5" s="405">
        <f>PRODUCT(Tabela1[[#This Row],[Resitência ao avanço (kN)]],1.15,Tabela1[[#This Row],[Velocidade (nós)]],0.514)</f>
        <v>45.467412000000003</v>
      </c>
      <c r="G5" s="419">
        <f>Tabela1[[#This Row],[EHP]]/0.55</f>
        <v>82.668021818181813</v>
      </c>
      <c r="H5" s="405">
        <f>PRODUCT(Tabela1[[#This Row],[BHP]],1.2)</f>
        <v>99.20162618181817</v>
      </c>
      <c r="I5" s="405">
        <v>2.16</v>
      </c>
      <c r="J5" s="405">
        <f>ROUNDDOWN(PRODUCT(Tabela1[[#This Row],[Viagens Redondas (30 dias)]],365/30),2)</f>
        <v>26.28</v>
      </c>
    </row>
    <row r="6" spans="1:10" ht="13.5" x14ac:dyDescent="0.2">
      <c r="A6" s="404">
        <v>1</v>
      </c>
      <c r="B6" s="405" cm="1">
        <f t="array" ref="B6">SUM(Deslocamento_leve,TPB*Tabela1[[#This Row],[% TPB]])</f>
        <v>1074</v>
      </c>
      <c r="C6" s="406">
        <v>2</v>
      </c>
      <c r="D6" s="423">
        <v>6.5</v>
      </c>
      <c r="E6" s="407">
        <v>15.28</v>
      </c>
      <c r="F6" s="405">
        <f>PRODUCT(Tabela1[[#This Row],[Resitência ao avanço (kN)]],1.15,Tabela1[[#This Row],[Velocidade (nós)]],0.514)</f>
        <v>58.708051999999995</v>
      </c>
      <c r="G6" s="419">
        <f>Tabela1[[#This Row],[EHP]]/0.55</f>
        <v>106.74191272727271</v>
      </c>
      <c r="H6" s="405">
        <f>PRODUCT(Tabela1[[#This Row],[BHP]],1.2)</f>
        <v>128.09029527272725</v>
      </c>
      <c r="I6" s="405">
        <v>2.2999999999999998</v>
      </c>
      <c r="J6" s="405">
        <f>ROUNDDOWN(PRODUCT(Tabela1[[#This Row],[Viagens Redondas (30 dias)]],365/30),2)</f>
        <v>27.98</v>
      </c>
    </row>
    <row r="7" spans="1:10" ht="13.5" x14ac:dyDescent="0.2">
      <c r="A7" s="404">
        <v>1</v>
      </c>
      <c r="B7" s="405" cm="1">
        <f t="array" ref="B7">SUM(Deslocamento_leve,TPB*Tabela1[[#This Row],[% TPB]])</f>
        <v>1074</v>
      </c>
      <c r="C7" s="406">
        <v>2</v>
      </c>
      <c r="D7" s="423">
        <v>7</v>
      </c>
      <c r="E7" s="407">
        <v>18.3</v>
      </c>
      <c r="F7" s="405">
        <f>PRODUCT(Tabela1[[#This Row],[Resitência ao avanço (kN)]],1.15,Tabela1[[#This Row],[Velocidade (nós)]],0.514)</f>
        <v>75.719909999999999</v>
      </c>
      <c r="G7" s="419">
        <f>Tabela1[[#This Row],[EHP]]/0.55</f>
        <v>137.67256363636363</v>
      </c>
      <c r="H7" s="405">
        <f>PRODUCT(Tabela1[[#This Row],[BHP]],1.2)</f>
        <v>165.20707636363636</v>
      </c>
      <c r="I7" s="405">
        <v>2.44</v>
      </c>
      <c r="J7" s="405">
        <f>ROUNDDOWN(PRODUCT(Tabela1[[#This Row],[Viagens Redondas (30 dias)]],365/30),2)</f>
        <v>29.68</v>
      </c>
    </row>
    <row r="8" spans="1:10" ht="13.5" x14ac:dyDescent="0.2">
      <c r="A8" s="404">
        <v>1</v>
      </c>
      <c r="B8" s="405" cm="1">
        <f t="array" ref="B8">SUM(Deslocamento_leve,TPB*Tabela1[[#This Row],[% TPB]])</f>
        <v>1074</v>
      </c>
      <c r="C8" s="406">
        <v>2</v>
      </c>
      <c r="D8" s="423">
        <v>7.5</v>
      </c>
      <c r="E8" s="407">
        <v>22.14</v>
      </c>
      <c r="F8" s="405">
        <f>PRODUCT(Tabela1[[#This Row],[Resitência ao avanço (kN)]],1.15,Tabela1[[#This Row],[Velocidade (nós)]],0.514)</f>
        <v>98.152154999999993</v>
      </c>
      <c r="G8" s="419">
        <f>Tabela1[[#This Row],[EHP]]/0.55</f>
        <v>178.4584636363636</v>
      </c>
      <c r="H8" s="405">
        <f>PRODUCT(Tabela1[[#This Row],[BHP]],1.2)</f>
        <v>214.15015636363631</v>
      </c>
      <c r="I8" s="405">
        <v>2.57</v>
      </c>
      <c r="J8" s="405">
        <f>ROUNDDOWN(PRODUCT(Tabela1[[#This Row],[Viagens Redondas (30 dias)]],365/30),2)</f>
        <v>31.26</v>
      </c>
    </row>
    <row r="9" spans="1:10" ht="13.5" x14ac:dyDescent="0.2">
      <c r="A9" s="404">
        <v>1</v>
      </c>
      <c r="B9" s="405" cm="1">
        <f t="array" ref="B9">SUM(Deslocamento_leve,TPB*Tabela1[[#This Row],[% TPB]])</f>
        <v>1074</v>
      </c>
      <c r="C9" s="406">
        <v>2</v>
      </c>
      <c r="D9" s="423">
        <v>8</v>
      </c>
      <c r="E9" s="407">
        <v>27.13</v>
      </c>
      <c r="F9" s="405">
        <f>PRODUCT(Tabela1[[#This Row],[Resitência ao avanço (kN)]],1.15,Tabela1[[#This Row],[Velocidade (nós)]],0.514)</f>
        <v>128.29234399999999</v>
      </c>
      <c r="G9" s="419">
        <f>Tabela1[[#This Row],[EHP]]/0.55</f>
        <v>233.25880727272724</v>
      </c>
      <c r="H9" s="405">
        <f>PRODUCT(Tabela1[[#This Row],[BHP]],1.2)</f>
        <v>279.91056872727268</v>
      </c>
      <c r="I9" s="405">
        <v>2.69</v>
      </c>
      <c r="J9" s="405">
        <f>ROUNDDOWN(PRODUCT(Tabela1[[#This Row],[Viagens Redondas (30 dias)]],365/30),2)</f>
        <v>32.72</v>
      </c>
    </row>
    <row r="10" spans="1:10" ht="13.5" x14ac:dyDescent="0.2">
      <c r="A10" s="404">
        <v>1</v>
      </c>
      <c r="B10" s="405" cm="1">
        <f t="array" ref="B10">SUM(Deslocamento_leve,TPB*Tabela1[[#This Row],[% TPB]])</f>
        <v>1074</v>
      </c>
      <c r="C10" s="406">
        <v>2</v>
      </c>
      <c r="D10" s="423">
        <v>8.5</v>
      </c>
      <c r="E10" s="407">
        <v>33.64</v>
      </c>
      <c r="F10" s="405">
        <f>PRODUCT(Tabela1[[#This Row],[Resitência ao avanço (kN)]],1.15,Tabela1[[#This Row],[Velocidade (nós)]],0.514)</f>
        <v>169.01913400000001</v>
      </c>
      <c r="G10" s="419">
        <f>Tabela1[[#This Row],[EHP]]/0.55</f>
        <v>307.30751636363635</v>
      </c>
      <c r="H10" s="405">
        <f>PRODUCT(Tabela1[[#This Row],[BHP]],1.2)</f>
        <v>368.76901963636362</v>
      </c>
      <c r="I10" s="405">
        <v>2.81</v>
      </c>
      <c r="J10" s="405">
        <f>ROUNDDOWN(PRODUCT(Tabela1[[#This Row],[Viagens Redondas (30 dias)]],365/30),2)</f>
        <v>34.18</v>
      </c>
    </row>
    <row r="11" spans="1:10" ht="13.5" x14ac:dyDescent="0.2">
      <c r="A11" s="404">
        <v>1</v>
      </c>
      <c r="B11" s="405" cm="1">
        <f t="array" ref="B11">SUM(Deslocamento_leve,TPB*Tabela1[[#This Row],[% TPB]])</f>
        <v>1074</v>
      </c>
      <c r="C11" s="406">
        <v>2</v>
      </c>
      <c r="D11" s="423">
        <v>9</v>
      </c>
      <c r="E11" s="407">
        <v>42.2</v>
      </c>
      <c r="F11" s="405">
        <f>PRODUCT(Tabela1[[#This Row],[Resitência ao avanço (kN)]],1.15,Tabela1[[#This Row],[Velocidade (nós)]],0.514)</f>
        <v>224.49977999999999</v>
      </c>
      <c r="G11" s="419">
        <f>Tabela1[[#This Row],[EHP]]/0.55</f>
        <v>408.18141818181812</v>
      </c>
      <c r="H11" s="405">
        <f>PRODUCT(Tabela1[[#This Row],[BHP]],1.2)</f>
        <v>489.81770181818172</v>
      </c>
      <c r="I11" s="405">
        <v>2.92</v>
      </c>
      <c r="J11" s="405">
        <f>ROUNDDOWN(PRODUCT(Tabela1[[#This Row],[Viagens Redondas (30 dias)]],365/30),2)</f>
        <v>35.520000000000003</v>
      </c>
    </row>
    <row r="12" spans="1:10" ht="13.5" x14ac:dyDescent="0.2">
      <c r="A12" s="404">
        <v>1</v>
      </c>
      <c r="B12" s="405" cm="1">
        <f t="array" ref="B12">SUM(Deslocamento_leve,TPB*Tabela1[[#This Row],[% TPB]])</f>
        <v>1074</v>
      </c>
      <c r="C12" s="406">
        <v>2</v>
      </c>
      <c r="D12" s="423">
        <v>9.5</v>
      </c>
      <c r="E12" s="407">
        <v>53.21</v>
      </c>
      <c r="F12" s="405">
        <f>PRODUCT(Tabela1[[#This Row],[Resitência ao avanço (kN)]],1.15,Tabela1[[#This Row],[Velocidade (nós)]],0.514)</f>
        <v>298.79809449999999</v>
      </c>
      <c r="G12" s="419">
        <f>Tabela1[[#This Row],[EHP]]/0.55</f>
        <v>543.26926272727269</v>
      </c>
      <c r="H12" s="405">
        <f>PRODUCT(Tabela1[[#This Row],[BHP]],1.2)</f>
        <v>651.92311527272716</v>
      </c>
      <c r="I12" s="405">
        <v>3.02</v>
      </c>
      <c r="J12" s="405">
        <f>ROUNDDOWN(PRODUCT(Tabela1[[#This Row],[Viagens Redondas (30 dias)]],365/30),2)</f>
        <v>36.74</v>
      </c>
    </row>
    <row r="13" spans="1:10" ht="13.5" x14ac:dyDescent="0.2">
      <c r="A13" s="404">
        <v>1</v>
      </c>
      <c r="B13" s="405" cm="1">
        <f t="array" ref="B13">SUM(Deslocamento_leve,TPB*Tabela1[[#This Row],[% TPB]])</f>
        <v>1074</v>
      </c>
      <c r="C13" s="406">
        <v>2</v>
      </c>
      <c r="D13" s="423">
        <v>10</v>
      </c>
      <c r="E13" s="407">
        <v>67.150000000000006</v>
      </c>
      <c r="F13" s="405">
        <f>PRODUCT(Tabela1[[#This Row],[Resitência ao avanço (kN)]],1.15,Tabela1[[#This Row],[Velocidade (nós)]],0.514)</f>
        <v>396.92364999999995</v>
      </c>
      <c r="G13" s="419">
        <f>Tabela1[[#This Row],[EHP]]/0.55</f>
        <v>721.67936363636352</v>
      </c>
      <c r="H13" s="405">
        <f>PRODUCT(Tabela1[[#This Row],[BHP]],1.2)</f>
        <v>866.01523636363618</v>
      </c>
      <c r="I13" s="405">
        <v>3.12</v>
      </c>
      <c r="J13" s="405">
        <f>ROUNDDOWN(PRODUCT(Tabela1[[#This Row],[Viagens Redondas (30 dias)]],365/30),2)</f>
        <v>37.96</v>
      </c>
    </row>
    <row r="14" spans="1:10" ht="13.5" x14ac:dyDescent="0.2">
      <c r="A14" s="404">
        <v>1</v>
      </c>
      <c r="B14" s="405" cm="1">
        <f t="array" ref="B14">SUM(Deslocamento_leve,TPB*Tabela1[[#This Row],[% TPB]])</f>
        <v>1074</v>
      </c>
      <c r="C14" s="406">
        <v>2</v>
      </c>
      <c r="D14" s="423">
        <v>10.5</v>
      </c>
      <c r="E14" s="407">
        <v>84.83</v>
      </c>
      <c r="F14" s="405">
        <f>PRODUCT(Tabela1[[#This Row],[Resitência ao avanço (kN)]],1.15,Tabela1[[#This Row],[Velocidade (nós)]],0.514)</f>
        <v>526.50163650000002</v>
      </c>
      <c r="G14" s="419">
        <f>Tabela1[[#This Row],[EHP]]/0.55</f>
        <v>957.27570272727269</v>
      </c>
      <c r="H14" s="405">
        <f>PRODUCT(Tabela1[[#This Row],[BHP]],1.2)</f>
        <v>1148.7308432727273</v>
      </c>
      <c r="I14" s="405">
        <v>3.21</v>
      </c>
      <c r="J14" s="405">
        <f>ROUNDDOWN(PRODUCT(Tabela1[[#This Row],[Viagens Redondas (30 dias)]],365/30),2)</f>
        <v>39.049999999999997</v>
      </c>
    </row>
    <row r="15" spans="1:10" ht="13.5" x14ac:dyDescent="0.2">
      <c r="A15" s="404">
        <v>1</v>
      </c>
      <c r="B15" s="405" cm="1">
        <f t="array" ref="B15">SUM(Deslocamento_leve,TPB*Tabela1[[#This Row],[% TPB]])</f>
        <v>1074</v>
      </c>
      <c r="C15" s="406">
        <v>2</v>
      </c>
      <c r="D15" s="423">
        <v>11</v>
      </c>
      <c r="E15" s="407">
        <v>105.37</v>
      </c>
      <c r="F15" s="405">
        <f>PRODUCT(Tabela1[[#This Row],[Resitência ao avanço (kN)]],1.15,Tabela1[[#This Row],[Velocidade (nós)]],0.514)</f>
        <v>685.12627699999996</v>
      </c>
      <c r="G15" s="419">
        <f>Tabela1[[#This Row],[EHP]]/0.55</f>
        <v>1245.6841399999998</v>
      </c>
      <c r="H15" s="405">
        <f>PRODUCT(Tabela1[[#This Row],[BHP]],1.2)</f>
        <v>1494.8209679999998</v>
      </c>
      <c r="I15" s="405">
        <v>3.3</v>
      </c>
      <c r="J15" s="405">
        <f>ROUNDDOWN(PRODUCT(Tabela1[[#This Row],[Viagens Redondas (30 dias)]],365/30),2)</f>
        <v>40.15</v>
      </c>
    </row>
    <row r="16" spans="1:10" ht="13.5" x14ac:dyDescent="0.2">
      <c r="A16" s="404">
        <v>1</v>
      </c>
      <c r="B16" s="405" cm="1">
        <f t="array" ref="B16">SUM(Deslocamento_leve,TPB*Tabela1[[#This Row],[% TPB]])</f>
        <v>1074</v>
      </c>
      <c r="C16" s="406">
        <v>2</v>
      </c>
      <c r="D16" s="423">
        <v>11.5</v>
      </c>
      <c r="E16" s="407">
        <v>130.43</v>
      </c>
      <c r="F16" s="405">
        <f>PRODUCT(Tabela1[[#This Row],[Resitência ao avanço (kN)]],1.15,Tabela1[[#This Row],[Velocidade (nós)]],0.514)</f>
        <v>886.61748949999992</v>
      </c>
      <c r="G16" s="419">
        <f>Tabela1[[#This Row],[EHP]]/0.55</f>
        <v>1612.0317990909089</v>
      </c>
      <c r="H16" s="405">
        <f>PRODUCT(Tabela1[[#This Row],[BHP]],1.2)</f>
        <v>1934.4381589090906</v>
      </c>
      <c r="I16" s="405">
        <v>3.39</v>
      </c>
      <c r="J16" s="405">
        <f>ROUNDDOWN(PRODUCT(Tabela1[[#This Row],[Viagens Redondas (30 dias)]],365/30),2)</f>
        <v>41.24</v>
      </c>
    </row>
    <row r="17" spans="1:10" ht="13.5" x14ac:dyDescent="0.2">
      <c r="A17" s="404">
        <v>1</v>
      </c>
      <c r="B17" s="405" cm="1">
        <f t="array" ref="B17">SUM(Deslocamento_leve,TPB*Tabela1[[#This Row],[% TPB]])</f>
        <v>1074</v>
      </c>
      <c r="C17" s="406">
        <v>2</v>
      </c>
      <c r="D17" s="423">
        <v>12</v>
      </c>
      <c r="E17" s="407">
        <v>164.71</v>
      </c>
      <c r="F17" s="405">
        <f>PRODUCT(Tabela1[[#This Row],[Resitência ao avanço (kN)]],1.15,Tabela1[[#This Row],[Velocidade (nós)]],0.514)</f>
        <v>1168.3209719999998</v>
      </c>
      <c r="G17" s="419">
        <f>Tabela1[[#This Row],[EHP]]/0.55</f>
        <v>2124.2199490909084</v>
      </c>
      <c r="H17" s="405">
        <f>PRODUCT(Tabela1[[#This Row],[BHP]],1.2)</f>
        <v>2549.0639389090898</v>
      </c>
      <c r="I17" s="405">
        <v>3.47</v>
      </c>
      <c r="J17" s="405">
        <f>ROUNDDOWN(PRODUCT(Tabela1[[#This Row],[Viagens Redondas (30 dias)]],365/30),2)</f>
        <v>42.21</v>
      </c>
    </row>
    <row r="18" spans="1:10" ht="13.5" x14ac:dyDescent="0.2">
      <c r="A18" s="404">
        <v>1</v>
      </c>
      <c r="B18" s="405" cm="1">
        <f t="array" ref="B18">SUM(Deslocamento_leve,TPB*Tabela1[[#This Row],[% TPB]])</f>
        <v>1074</v>
      </c>
      <c r="C18" s="406">
        <v>2</v>
      </c>
      <c r="D18" s="423">
        <v>12.5</v>
      </c>
      <c r="E18" s="407">
        <v>204.37</v>
      </c>
      <c r="F18" s="405">
        <f>PRODUCT(Tabela1[[#This Row],[Resitência ao avanço (kN)]],1.15,Tabela1[[#This Row],[Velocidade (nós)]],0.514)</f>
        <v>1510.0388375</v>
      </c>
      <c r="G18" s="419">
        <f>Tabela1[[#This Row],[EHP]]/0.55</f>
        <v>2745.5251590909088</v>
      </c>
      <c r="H18" s="405">
        <f>PRODUCT(Tabela1[[#This Row],[BHP]],1.2)</f>
        <v>3294.6301909090903</v>
      </c>
      <c r="I18" s="405">
        <v>3.55</v>
      </c>
      <c r="J18" s="405">
        <f>ROUNDDOWN(PRODUCT(Tabela1[[#This Row],[Viagens Redondas (30 dias)]],365/30),2)</f>
        <v>43.19</v>
      </c>
    </row>
    <row r="19" spans="1:10" ht="13.5" x14ac:dyDescent="0.2">
      <c r="A19" s="404">
        <v>1</v>
      </c>
      <c r="B19" s="405" cm="1">
        <f t="array" ref="B19">SUM(Deslocamento_leve,TPB*Tabela1[[#This Row],[% TPB]])</f>
        <v>1074</v>
      </c>
      <c r="C19" s="406">
        <v>2</v>
      </c>
      <c r="D19" s="423">
        <v>13</v>
      </c>
      <c r="E19" s="407">
        <v>239.04</v>
      </c>
      <c r="F19" s="405">
        <f>PRODUCT(Tabela1[[#This Row],[Resitência ao avanço (kN)]],1.15,Tabela1[[#This Row],[Velocidade (nós)]],0.514)</f>
        <v>1836.8550719999996</v>
      </c>
      <c r="G19" s="419">
        <f>Tabela1[[#This Row],[EHP]]/0.55</f>
        <v>3339.7364945454538</v>
      </c>
      <c r="H19" s="405">
        <f>PRODUCT(Tabela1[[#This Row],[BHP]],1.2)</f>
        <v>4007.6837934545442</v>
      </c>
      <c r="I19" s="405">
        <v>3.62</v>
      </c>
      <c r="J19" s="405">
        <f>ROUNDDOWN(PRODUCT(Tabela1[[#This Row],[Viagens Redondas (30 dias)]],365/30),2)</f>
        <v>44.04</v>
      </c>
    </row>
    <row r="20" spans="1:10" ht="13.5" x14ac:dyDescent="0.2">
      <c r="A20" s="404">
        <v>1</v>
      </c>
      <c r="B20" s="405" cm="1">
        <f t="array" ref="B20">SUM(Deslocamento_leve,TPB*Tabela1[[#This Row],[% TPB]])</f>
        <v>1074</v>
      </c>
      <c r="C20" s="406">
        <v>2</v>
      </c>
      <c r="D20" s="423">
        <v>13.5</v>
      </c>
      <c r="E20" s="407">
        <v>270.62</v>
      </c>
      <c r="F20" s="405">
        <f>PRODUCT(Tabela1[[#This Row],[Resitência ao avanço (kN)]],1.15,Tabela1[[#This Row],[Velocidade (nós)]],0.514)</f>
        <v>2159.5070069999997</v>
      </c>
      <c r="G20" s="419">
        <f>Tabela1[[#This Row],[EHP]]/0.55</f>
        <v>3926.3763763636357</v>
      </c>
      <c r="H20" s="405">
        <f>PRODUCT(Tabela1[[#This Row],[BHP]],1.2)</f>
        <v>4711.6516516363627</v>
      </c>
      <c r="I20" s="405">
        <v>3.7</v>
      </c>
      <c r="J20" s="405">
        <f>ROUNDDOWN(PRODUCT(Tabela1[[#This Row],[Viagens Redondas (30 dias)]],365/30),2)</f>
        <v>45.01</v>
      </c>
    </row>
    <row r="21" spans="1:10" ht="13.5" x14ac:dyDescent="0.2">
      <c r="A21" s="404">
        <v>1</v>
      </c>
      <c r="B21" s="405" cm="1">
        <f t="array" ref="B21">SUM(Deslocamento_leve,TPB*Tabela1[[#This Row],[% TPB]])</f>
        <v>1074</v>
      </c>
      <c r="C21" s="406">
        <v>2</v>
      </c>
      <c r="D21" s="423">
        <v>14</v>
      </c>
      <c r="E21" s="407">
        <v>314.77999999999997</v>
      </c>
      <c r="F21" s="405">
        <f>PRODUCT(Tabela1[[#This Row],[Resitência ao avanço (kN)]],1.15,Tabela1[[#This Row],[Velocidade (nós)]],0.514)</f>
        <v>2604.9304119999997</v>
      </c>
      <c r="G21" s="419">
        <f>Tabela1[[#This Row],[EHP]]/0.55</f>
        <v>4736.2371127272718</v>
      </c>
      <c r="H21" s="405">
        <f>PRODUCT(Tabela1[[#This Row],[BHP]],1.2)</f>
        <v>5683.4845352727261</v>
      </c>
      <c r="I21" s="405">
        <v>3.77</v>
      </c>
      <c r="J21" s="405">
        <f>ROUNDDOWN(PRODUCT(Tabela1[[#This Row],[Viagens Redondas (30 dias)]],365/30),2)</f>
        <v>45.86</v>
      </c>
    </row>
    <row r="22" spans="1:10" ht="13.5" x14ac:dyDescent="0.2">
      <c r="A22" s="404">
        <v>1</v>
      </c>
      <c r="B22" s="405" cm="1">
        <f t="array" ref="B22">SUM(Deslocamento_leve,TPB*Tabela1[[#This Row],[% TPB]])</f>
        <v>1074</v>
      </c>
      <c r="C22" s="406">
        <v>2</v>
      </c>
      <c r="D22" s="423">
        <v>14.5</v>
      </c>
      <c r="E22" s="407">
        <v>387.17</v>
      </c>
      <c r="F22" s="405">
        <f>PRODUCT(Tabela1[[#This Row],[Resitência ao avanço (kN)]],1.15,Tabela1[[#This Row],[Velocidade (nós)]],0.514)</f>
        <v>3318.4147115000001</v>
      </c>
      <c r="G22" s="419">
        <f>Tabela1[[#This Row],[EHP]]/0.55</f>
        <v>6033.4812936363633</v>
      </c>
      <c r="H22" s="405">
        <f>PRODUCT(Tabela1[[#This Row],[BHP]],1.2)</f>
        <v>7240.1775523636361</v>
      </c>
      <c r="I22" s="405">
        <v>3.83</v>
      </c>
      <c r="J22" s="405">
        <f>ROUNDDOWN(PRODUCT(Tabela1[[#This Row],[Viagens Redondas (30 dias)]],365/30),2)</f>
        <v>46.59</v>
      </c>
    </row>
    <row r="23" spans="1:10" ht="13.5" x14ac:dyDescent="0.2">
      <c r="A23" s="404">
        <v>1</v>
      </c>
      <c r="B23" s="405" cm="1">
        <f t="array" ref="B23">SUM(Deslocamento_leve,TPB*Tabela1[[#This Row],[% TPB]])</f>
        <v>1074</v>
      </c>
      <c r="C23" s="406">
        <v>2</v>
      </c>
      <c r="D23" s="423">
        <v>15</v>
      </c>
      <c r="E23" s="407">
        <v>493.8</v>
      </c>
      <c r="F23" s="405">
        <f>PRODUCT(Tabela1[[#This Row],[Resitência ao avanço (kN)]],1.15,Tabela1[[#This Row],[Velocidade (nós)]],0.514)</f>
        <v>4378.2776999999996</v>
      </c>
      <c r="G23" s="419">
        <f>Tabela1[[#This Row],[EHP]]/0.55</f>
        <v>7960.5049090909079</v>
      </c>
      <c r="H23" s="405">
        <f>PRODUCT(Tabela1[[#This Row],[BHP]],1.2)</f>
        <v>9552.6058909090898</v>
      </c>
      <c r="I23" s="405">
        <v>3.9</v>
      </c>
      <c r="J23" s="405">
        <f>ROUNDDOWN(PRODUCT(Tabela1[[#This Row],[Viagens Redondas (30 dias)]],365/30),2)</f>
        <v>47.45</v>
      </c>
    </row>
    <row r="24" spans="1:10" ht="13.5" x14ac:dyDescent="0.2">
      <c r="A24" s="404">
        <v>1</v>
      </c>
      <c r="B24" s="405" cm="1">
        <f t="array" ref="B24">SUM(Deslocamento_leve,TPB*Tabela1[[#This Row],[% TPB]])</f>
        <v>1074</v>
      </c>
      <c r="C24" s="406">
        <v>2</v>
      </c>
      <c r="D24" s="423">
        <v>15.5</v>
      </c>
      <c r="E24" s="407">
        <v>623.27</v>
      </c>
      <c r="F24" s="405">
        <f>PRODUCT(Tabela1[[#This Row],[Resitência ao avanço (kN)]],1.15,Tabela1[[#This Row],[Velocidade (nós)]],0.514)</f>
        <v>5710.4309034999997</v>
      </c>
      <c r="G24" s="419">
        <f>Tabela1[[#This Row],[EHP]]/0.55</f>
        <v>10382.601642727272</v>
      </c>
      <c r="H24" s="405">
        <f>PRODUCT(Tabela1[[#This Row],[BHP]],1.2)</f>
        <v>12459.121971272725</v>
      </c>
      <c r="I24" s="405">
        <v>3.96</v>
      </c>
      <c r="J24" s="405">
        <f>ROUNDDOWN(PRODUCT(Tabela1[[#This Row],[Viagens Redondas (30 dias)]],365/30),2)</f>
        <v>48.18</v>
      </c>
    </row>
    <row r="25" spans="1:10" ht="13.5" x14ac:dyDescent="0.2">
      <c r="A25" s="404">
        <v>1</v>
      </c>
      <c r="B25" s="405" cm="1">
        <f t="array" ref="B25">SUM(Deslocamento_leve,TPB*Tabela1[[#This Row],[% TPB]])</f>
        <v>1074</v>
      </c>
      <c r="C25" s="406">
        <v>2</v>
      </c>
      <c r="D25" s="423">
        <v>16</v>
      </c>
      <c r="E25" s="407">
        <v>746.78</v>
      </c>
      <c r="F25" s="405">
        <f>PRODUCT(Tabela1[[#This Row],[Resitência ao avanço (kN)]],1.15,Tabela1[[#This Row],[Velocidade (nós)]],0.514)</f>
        <v>7062.7465279999997</v>
      </c>
      <c r="G25" s="419">
        <f>Tabela1[[#This Row],[EHP]]/0.55</f>
        <v>12841.357323636363</v>
      </c>
      <c r="H25" s="405">
        <f>PRODUCT(Tabela1[[#This Row],[BHP]],1.2)</f>
        <v>15409.628788363634</v>
      </c>
      <c r="I25" s="405">
        <v>4</v>
      </c>
      <c r="J25" s="405">
        <f>ROUNDDOWN(PRODUCT(Tabela1[[#This Row],[Viagens Redondas (30 dias)]],365/30),2)</f>
        <v>48.66</v>
      </c>
    </row>
    <row r="26" spans="1:10" ht="13.5" x14ac:dyDescent="0.2">
      <c r="A26" s="408">
        <v>0.75</v>
      </c>
      <c r="B26" s="409" cm="1">
        <f t="array" ref="B26">SUM(Deslocamento_leve,TPB*Tabela1[[#This Row],[% TPB]])</f>
        <v>997.5</v>
      </c>
      <c r="C26" s="410">
        <v>1.885</v>
      </c>
      <c r="D26" s="424">
        <v>5.5</v>
      </c>
      <c r="E26" s="416">
        <v>10.392011947506401</v>
      </c>
      <c r="F26" s="409">
        <f>PRODUCT(Tabela1[[#This Row],[Resitência ao avanço (kN)]],1.15,Tabela1[[#This Row],[Velocidade (nós)]],0.514)</f>
        <v>33.78495044194068</v>
      </c>
      <c r="G26" s="420">
        <f>Tabela1[[#This Row],[EHP]]/0.55</f>
        <v>61.427182621710323</v>
      </c>
      <c r="H26" s="409">
        <f>PRODUCT(Tabela1[[#This Row],[BHP]],1.2)</f>
        <v>73.71261914605239</v>
      </c>
      <c r="I26" s="409">
        <v>2</v>
      </c>
      <c r="J26" s="409">
        <f>ROUNDDOWN(PRODUCT(Tabela1[[#This Row],[Viagens Redondas (30 dias)]],365/30),2)</f>
        <v>24.33</v>
      </c>
    </row>
    <row r="27" spans="1:10" ht="13.5" x14ac:dyDescent="0.2">
      <c r="A27" s="408">
        <v>0.75</v>
      </c>
      <c r="B27" s="409" cm="1">
        <f t="array" ref="B27">SUM(Deslocamento_leve,TPB*Tabela1[[#This Row],[% TPB]])</f>
        <v>997.5</v>
      </c>
      <c r="C27" s="410">
        <v>1.885</v>
      </c>
      <c r="D27" s="424">
        <v>6</v>
      </c>
      <c r="E27" s="416">
        <v>12.3804705208769</v>
      </c>
      <c r="F27" s="409">
        <f>PRODUCT(Tabela1[[#This Row],[Resitência ao avanço (kN)]],1.15,Tabela1[[#This Row],[Velocidade (nós)]],0.514)</f>
        <v>43.908576749342011</v>
      </c>
      <c r="G27" s="420">
        <f>Tabela1[[#This Row],[EHP]]/0.55</f>
        <v>79.833775907894562</v>
      </c>
      <c r="H27" s="409">
        <f>PRODUCT(Tabela1[[#This Row],[BHP]],1.2)</f>
        <v>95.800531089473466</v>
      </c>
      <c r="I27" s="409">
        <v>2.16</v>
      </c>
      <c r="J27" s="409">
        <f>ROUNDDOWN(PRODUCT(Tabela1[[#This Row],[Viagens Redondas (30 dias)]],365/30),2)</f>
        <v>26.28</v>
      </c>
    </row>
    <row r="28" spans="1:10" ht="13.5" x14ac:dyDescent="0.2">
      <c r="A28" s="408">
        <v>0.75</v>
      </c>
      <c r="B28" s="409" cm="1">
        <f t="array" ref="B28">SUM(Deslocamento_leve,TPB*Tabela1[[#This Row],[% TPB]])</f>
        <v>997.5</v>
      </c>
      <c r="C28" s="410">
        <v>1.885</v>
      </c>
      <c r="D28" s="424">
        <v>6.5</v>
      </c>
      <c r="E28" s="416">
        <v>14.726956569042301</v>
      </c>
      <c r="F28" s="409">
        <f>PRODUCT(Tabela1[[#This Row],[Resitência ao avanço (kN)]],1.15,Tabela1[[#This Row],[Velocidade (nós)]],0.514)</f>
        <v>56.58317618174587</v>
      </c>
      <c r="G28" s="420">
        <f>Tabela1[[#This Row],[EHP]]/0.55</f>
        <v>102.87850214862884</v>
      </c>
      <c r="H28" s="409">
        <f>PRODUCT(Tabela1[[#This Row],[BHP]],1.2)</f>
        <v>123.4542025783546</v>
      </c>
      <c r="I28" s="409">
        <v>2.2999999999999998</v>
      </c>
      <c r="J28" s="409">
        <f>ROUNDDOWN(PRODUCT(Tabela1[[#This Row],[Viagens Redondas (30 dias)]],365/30),2)</f>
        <v>27.98</v>
      </c>
    </row>
    <row r="29" spans="1:10" ht="13.5" x14ac:dyDescent="0.2">
      <c r="A29" s="408">
        <v>0.75</v>
      </c>
      <c r="B29" s="409" cm="1">
        <f t="array" ref="B29">SUM(Deslocamento_leve,TPB*Tabela1[[#This Row],[% TPB]])</f>
        <v>997.5</v>
      </c>
      <c r="C29" s="410">
        <v>1.885</v>
      </c>
      <c r="D29" s="424">
        <v>7</v>
      </c>
      <c r="E29" s="416">
        <v>17.594233283292098</v>
      </c>
      <c r="F29" s="409">
        <f>PRODUCT(Tabela1[[#This Row],[Resitência ao avanço (kN)]],1.15,Tabela1[[#This Row],[Velocidade (nós)]],0.514)</f>
        <v>72.799659056277704</v>
      </c>
      <c r="G29" s="420">
        <f>Tabela1[[#This Row],[EHP]]/0.55</f>
        <v>132.36301646595945</v>
      </c>
      <c r="H29" s="409">
        <f>PRODUCT(Tabela1[[#This Row],[BHP]],1.2)</f>
        <v>158.83561975915134</v>
      </c>
      <c r="I29" s="409">
        <v>2.44</v>
      </c>
      <c r="J29" s="409">
        <f>ROUNDDOWN(PRODUCT(Tabela1[[#This Row],[Viagens Redondas (30 dias)]],365/30),2)</f>
        <v>29.68</v>
      </c>
    </row>
    <row r="30" spans="1:10" ht="13.5" x14ac:dyDescent="0.2">
      <c r="A30" s="408">
        <v>0.75</v>
      </c>
      <c r="B30" s="409" cm="1">
        <f t="array" ref="B30">SUM(Deslocamento_leve,TPB*Tabela1[[#This Row],[% TPB]])</f>
        <v>997.5</v>
      </c>
      <c r="C30" s="410">
        <v>1.885</v>
      </c>
      <c r="D30" s="424">
        <v>7.5</v>
      </c>
      <c r="E30" s="416">
        <v>21.2029062845941</v>
      </c>
      <c r="F30" s="409">
        <f>PRODUCT(Tabela1[[#This Row],[Resitência ao avanço (kN)]],1.15,Tabela1[[#This Row],[Velocidade (nós)]],0.514)</f>
        <v>93.997784286176781</v>
      </c>
      <c r="G30" s="420">
        <f>Tabela1[[#This Row],[EHP]]/0.55</f>
        <v>170.90506233850323</v>
      </c>
      <c r="H30" s="409">
        <f>PRODUCT(Tabela1[[#This Row],[BHP]],1.2)</f>
        <v>205.08607480620387</v>
      </c>
      <c r="I30" s="409">
        <v>2.57</v>
      </c>
      <c r="J30" s="409">
        <f>ROUNDDOWN(PRODUCT(Tabela1[[#This Row],[Viagens Redondas (30 dias)]],365/30),2)</f>
        <v>31.26</v>
      </c>
    </row>
    <row r="31" spans="1:10" ht="13.5" x14ac:dyDescent="0.2">
      <c r="A31" s="408">
        <v>0.75</v>
      </c>
      <c r="B31" s="409" cm="1">
        <f t="array" ref="B31">SUM(Deslocamento_leve,TPB*Tabela1[[#This Row],[% TPB]])</f>
        <v>997.5</v>
      </c>
      <c r="C31" s="410">
        <v>1.885</v>
      </c>
      <c r="D31" s="424">
        <v>8</v>
      </c>
      <c r="E31" s="416">
        <v>25.829785923897202</v>
      </c>
      <c r="F31" s="409">
        <f>PRODUCT(Tabela1[[#This Row],[Resitência ao avanço (kN)]],1.15,Tabela1[[#This Row],[Velocidade (nós)]],0.514)</f>
        <v>122.14389167692508</v>
      </c>
      <c r="G31" s="420">
        <f>Tabela1[[#This Row],[EHP]]/0.55</f>
        <v>222.07980304895466</v>
      </c>
      <c r="H31" s="409">
        <f>PRODUCT(Tabela1[[#This Row],[BHP]],1.2)</f>
        <v>266.4957636587456</v>
      </c>
      <c r="I31" s="409">
        <v>2.69</v>
      </c>
      <c r="J31" s="409">
        <f>ROUNDDOWN(PRODUCT(Tabela1[[#This Row],[Viagens Redondas (30 dias)]],365/30),2)</f>
        <v>32.72</v>
      </c>
    </row>
    <row r="32" spans="1:10" ht="13.5" x14ac:dyDescent="0.2">
      <c r="A32" s="408">
        <v>0.75</v>
      </c>
      <c r="B32" s="409" cm="1">
        <f t="array" ref="B32">SUM(Deslocamento_leve,TPB*Tabela1[[#This Row],[% TPB]])</f>
        <v>997.5</v>
      </c>
      <c r="C32" s="410">
        <v>1.885</v>
      </c>
      <c r="D32" s="424">
        <v>8.5</v>
      </c>
      <c r="E32" s="416">
        <v>31.801357838124002</v>
      </c>
      <c r="F32" s="409">
        <f>PRODUCT(Tabela1[[#This Row],[Resitência ao avanço (kN)]],1.15,Tabela1[[#This Row],[Velocidade (nós)]],0.514)</f>
        <v>159.78115225397832</v>
      </c>
      <c r="G32" s="420">
        <f>Tabela1[[#This Row],[EHP]]/0.55</f>
        <v>290.51118591632417</v>
      </c>
      <c r="H32" s="409">
        <f>PRODUCT(Tabela1[[#This Row],[BHP]],1.2)</f>
        <v>348.613423099589</v>
      </c>
      <c r="I32" s="409">
        <v>2.81</v>
      </c>
      <c r="J32" s="409">
        <f>ROUNDDOWN(PRODUCT(Tabela1[[#This Row],[Viagens Redondas (30 dias)]],365/30),2)</f>
        <v>34.18</v>
      </c>
    </row>
    <row r="33" spans="1:10" ht="13.5" x14ac:dyDescent="0.2">
      <c r="A33" s="408">
        <v>0.75</v>
      </c>
      <c r="B33" s="409" cm="1">
        <f t="array" ref="B33">SUM(Deslocamento_leve,TPB*Tabela1[[#This Row],[% TPB]])</f>
        <v>997.5</v>
      </c>
      <c r="C33" s="410">
        <v>1.885</v>
      </c>
      <c r="D33" s="424">
        <v>9</v>
      </c>
      <c r="E33" s="416">
        <v>39.585885344040797</v>
      </c>
      <c r="F33" s="409">
        <f>PRODUCT(Tabela1[[#This Row],[Resitência ao avanço (kN)]],1.15,Tabela1[[#This Row],[Velocidade (nós)]],0.514)</f>
        <v>210.59295144176261</v>
      </c>
      <c r="G33" s="420">
        <f>Tabela1[[#This Row],[EHP]]/0.55</f>
        <v>382.89627534865923</v>
      </c>
      <c r="H33" s="409">
        <f>PRODUCT(Tabela1[[#This Row],[BHP]],1.2)</f>
        <v>459.47553041839109</v>
      </c>
      <c r="I33" s="409">
        <v>2.92</v>
      </c>
      <c r="J33" s="409">
        <f>ROUNDDOWN(PRODUCT(Tabela1[[#This Row],[Viagens Redondas (30 dias)]],365/30),2)</f>
        <v>35.520000000000003</v>
      </c>
    </row>
    <row r="34" spans="1:10" ht="13.5" x14ac:dyDescent="0.2">
      <c r="A34" s="408">
        <v>0.75</v>
      </c>
      <c r="B34" s="409" cm="1">
        <f t="array" ref="B34">SUM(Deslocamento_leve,TPB*Tabela1[[#This Row],[% TPB]])</f>
        <v>997.5</v>
      </c>
      <c r="C34" s="410">
        <v>1.885</v>
      </c>
      <c r="D34" s="424">
        <v>9.5</v>
      </c>
      <c r="E34" s="416">
        <v>49.5016329714067</v>
      </c>
      <c r="F34" s="409">
        <f>PRODUCT(Tabela1[[#This Row],[Resitência ao avanço (kN)]],1.15,Tabela1[[#This Row],[Velocidade (nós)]],0.514)</f>
        <v>277.97394486928573</v>
      </c>
      <c r="G34" s="420">
        <f>Tabela1[[#This Row],[EHP]]/0.55</f>
        <v>505.40717248961039</v>
      </c>
      <c r="H34" s="409">
        <f>PRODUCT(Tabela1[[#This Row],[BHP]],1.2)</f>
        <v>606.48860698753242</v>
      </c>
      <c r="I34" s="409">
        <v>3.02</v>
      </c>
      <c r="J34" s="409">
        <f>ROUNDDOWN(PRODUCT(Tabela1[[#This Row],[Viagens Redondas (30 dias)]],365/30),2)</f>
        <v>36.74</v>
      </c>
    </row>
    <row r="35" spans="1:10" ht="13.5" x14ac:dyDescent="0.2">
      <c r="A35" s="408">
        <v>0.75</v>
      </c>
      <c r="B35" s="409" cm="1">
        <f t="array" ref="B35">SUM(Deslocamento_leve,TPB*Tabela1[[#This Row],[% TPB]])</f>
        <v>997.5</v>
      </c>
      <c r="C35" s="410">
        <v>1.885</v>
      </c>
      <c r="D35" s="424">
        <v>10</v>
      </c>
      <c r="E35" s="416">
        <v>62.003906170350398</v>
      </c>
      <c r="F35" s="409">
        <f>PRODUCT(Tabela1[[#This Row],[Resitência ao avanço (kN)]],1.15,Tabela1[[#This Row],[Velocidade (nós)]],0.514)</f>
        <v>366.5050893729412</v>
      </c>
      <c r="G35" s="420">
        <f>Tabela1[[#This Row],[EHP]]/0.55</f>
        <v>666.3728897689839</v>
      </c>
      <c r="H35" s="409">
        <f>PRODUCT(Tabela1[[#This Row],[BHP]],1.2)</f>
        <v>799.64746772278068</v>
      </c>
      <c r="I35" s="409">
        <v>3.12</v>
      </c>
      <c r="J35" s="409">
        <f>ROUNDDOWN(PRODUCT(Tabela1[[#This Row],[Viagens Redondas (30 dias)]],365/30),2)</f>
        <v>37.96</v>
      </c>
    </row>
    <row r="36" spans="1:10" ht="13.5" x14ac:dyDescent="0.2">
      <c r="A36" s="408">
        <v>0.75</v>
      </c>
      <c r="B36" s="409" cm="1">
        <f t="array" ref="B36">SUM(Deslocamento_leve,TPB*Tabela1[[#This Row],[% TPB]])</f>
        <v>997.5</v>
      </c>
      <c r="C36" s="410">
        <v>1.885</v>
      </c>
      <c r="D36" s="424">
        <v>10.5</v>
      </c>
      <c r="E36" s="416">
        <v>77.618479880210799</v>
      </c>
      <c r="F36" s="409">
        <f>PRODUCT(Tabela1[[#This Row],[Resitência ao avanço (kN)]],1.15,Tabela1[[#This Row],[Velocidade (nós)]],0.514)</f>
        <v>481.74297630052229</v>
      </c>
      <c r="G36" s="420">
        <f>Tabela1[[#This Row],[EHP]]/0.55</f>
        <v>875.89632054640413</v>
      </c>
      <c r="H36" s="409">
        <f>PRODUCT(Tabela1[[#This Row],[BHP]],1.2)</f>
        <v>1051.0755846556849</v>
      </c>
      <c r="I36" s="409">
        <v>3.21</v>
      </c>
      <c r="J36" s="409">
        <f>ROUNDDOWN(PRODUCT(Tabela1[[#This Row],[Viagens Redondas (30 dias)]],365/30),2)</f>
        <v>39.049999999999997</v>
      </c>
    </row>
    <row r="37" spans="1:10" ht="13.5" x14ac:dyDescent="0.2">
      <c r="A37" s="408">
        <v>0.75</v>
      </c>
      <c r="B37" s="409" cm="1">
        <f t="array" ref="B37">SUM(Deslocamento_leve,TPB*Tabela1[[#This Row],[% TPB]])</f>
        <v>997.5</v>
      </c>
      <c r="C37" s="410">
        <v>1.885</v>
      </c>
      <c r="D37" s="424">
        <v>11</v>
      </c>
      <c r="E37" s="416">
        <v>95.657567311561706</v>
      </c>
      <c r="F37" s="409">
        <f>PRODUCT(Tabela1[[#This Row],[Resitência ao avanço (kN)]],1.15,Tabela1[[#This Row],[Velocidade (nós)]],0.514)</f>
        <v>621.97506841650534</v>
      </c>
      <c r="G37" s="420">
        <f>Tabela1[[#This Row],[EHP]]/0.55</f>
        <v>1130.8637607572823</v>
      </c>
      <c r="H37" s="409">
        <f>PRODUCT(Tabela1[[#This Row],[BHP]],1.2)</f>
        <v>1357.0365129087388</v>
      </c>
      <c r="I37" s="409">
        <v>3.3</v>
      </c>
      <c r="J37" s="409">
        <f>ROUNDDOWN(PRODUCT(Tabela1[[#This Row],[Viagens Redondas (30 dias)]],365/30),2)</f>
        <v>40.15</v>
      </c>
    </row>
    <row r="38" spans="1:10" ht="13.5" x14ac:dyDescent="0.2">
      <c r="A38" s="408">
        <v>0.75</v>
      </c>
      <c r="B38" s="409" cm="1">
        <f t="array" ref="B38">SUM(Deslocamento_leve,TPB*Tabela1[[#This Row],[% TPB]])</f>
        <v>997.5</v>
      </c>
      <c r="C38" s="410">
        <v>1.885</v>
      </c>
      <c r="D38" s="424">
        <v>11.5</v>
      </c>
      <c r="E38" s="416">
        <v>118.17265007336999</v>
      </c>
      <c r="F38" s="409">
        <f>PRODUCT(Tabela1[[#This Row],[Resitência ao avanço (kN)]],1.15,Tabela1[[#This Row],[Velocidade (nós)]],0.514)</f>
        <v>803.29631477124349</v>
      </c>
      <c r="G38" s="420">
        <f>Tabela1[[#This Row],[EHP]]/0.55</f>
        <v>1460.5387541295336</v>
      </c>
      <c r="H38" s="409">
        <f>PRODUCT(Tabela1[[#This Row],[BHP]],1.2)</f>
        <v>1752.6465049554402</v>
      </c>
      <c r="I38" s="409">
        <v>3.39</v>
      </c>
      <c r="J38" s="409">
        <f>ROUNDDOWN(PRODUCT(Tabela1[[#This Row],[Viagens Redondas (30 dias)]],365/30),2)</f>
        <v>41.24</v>
      </c>
    </row>
    <row r="39" spans="1:10" ht="13.5" x14ac:dyDescent="0.2">
      <c r="A39" s="408">
        <v>0.75</v>
      </c>
      <c r="B39" s="409" cm="1">
        <f t="array" ref="B39">SUM(Deslocamento_leve,TPB*Tabela1[[#This Row],[% TPB]])</f>
        <v>997.5</v>
      </c>
      <c r="C39" s="410">
        <v>1.885</v>
      </c>
      <c r="D39" s="424">
        <v>12</v>
      </c>
      <c r="E39" s="411">
        <v>148.29</v>
      </c>
      <c r="F39" s="409">
        <f>PRODUCT(Tabela1[[#This Row],[Resitência ao avanço (kN)]],1.15,Tabela1[[#This Row],[Velocidade (nós)]],0.514)</f>
        <v>1051.8506279999999</v>
      </c>
      <c r="G39" s="420">
        <f>Tabela1[[#This Row],[EHP]]/0.55</f>
        <v>1912.4556872727269</v>
      </c>
      <c r="H39" s="409">
        <f>PRODUCT(Tabela1[[#This Row],[BHP]],1.2)</f>
        <v>2294.9468247272721</v>
      </c>
      <c r="I39" s="409">
        <v>3.47</v>
      </c>
      <c r="J39" s="409">
        <f>ROUNDDOWN(PRODUCT(Tabela1[[#This Row],[Viagens Redondas (30 dias)]],365/30),2)</f>
        <v>42.21</v>
      </c>
    </row>
    <row r="40" spans="1:10" ht="13.5" x14ac:dyDescent="0.2">
      <c r="A40" s="408">
        <v>0.75</v>
      </c>
      <c r="B40" s="409" cm="1">
        <f t="array" ref="B40">SUM(Deslocamento_leve,TPB*Tabela1[[#This Row],[% TPB]])</f>
        <v>997.5</v>
      </c>
      <c r="C40" s="410">
        <v>1.885</v>
      </c>
      <c r="D40" s="424">
        <v>12.5</v>
      </c>
      <c r="E40" s="416">
        <v>181.30499815333701</v>
      </c>
      <c r="F40" s="409">
        <f>PRODUCT(Tabela1[[#This Row],[Resitência ao avanço (kN)]],1.15,Tabela1[[#This Row],[Velocidade (nós)]],0.514)</f>
        <v>1339.6173051054689</v>
      </c>
      <c r="G40" s="420">
        <f>Tabela1[[#This Row],[EHP]]/0.55</f>
        <v>2435.6678274644887</v>
      </c>
      <c r="H40" s="409">
        <f>PRODUCT(Tabela1[[#This Row],[BHP]],1.2)</f>
        <v>2922.8013929573863</v>
      </c>
      <c r="I40" s="409">
        <v>3.55</v>
      </c>
      <c r="J40" s="409">
        <f>ROUNDDOWN(PRODUCT(Tabela1[[#This Row],[Viagens Redondas (30 dias)]],365/30),2)</f>
        <v>43.19</v>
      </c>
    </row>
    <row r="41" spans="1:10" ht="13.5" x14ac:dyDescent="0.2">
      <c r="A41" s="408">
        <v>0.75</v>
      </c>
      <c r="B41" s="409" cm="1">
        <f t="array" ref="B41">SUM(Deslocamento_leve,TPB*Tabela1[[#This Row],[% TPB]])</f>
        <v>997.5</v>
      </c>
      <c r="C41" s="410">
        <v>1.885</v>
      </c>
      <c r="D41" s="424">
        <v>13</v>
      </c>
      <c r="E41" s="416">
        <v>209.82963955064301</v>
      </c>
      <c r="F41" s="409">
        <f>PRODUCT(Tabela1[[#This Row],[Resitência ao avanço (kN)]],1.15,Tabela1[[#This Row],[Velocidade (nós)]],0.514)</f>
        <v>1612.393899199006</v>
      </c>
      <c r="G41" s="420">
        <f>Tabela1[[#This Row],[EHP]]/0.55</f>
        <v>2931.6252712709197</v>
      </c>
      <c r="H41" s="409">
        <f>PRODUCT(Tabela1[[#This Row],[BHP]],1.2)</f>
        <v>3517.9503255251034</v>
      </c>
      <c r="I41" s="409">
        <v>3.62</v>
      </c>
      <c r="J41" s="409">
        <f>ROUNDDOWN(PRODUCT(Tabela1[[#This Row],[Viagens Redondas (30 dias)]],365/30),2)</f>
        <v>44.04</v>
      </c>
    </row>
    <row r="42" spans="1:10" ht="13.5" x14ac:dyDescent="0.2">
      <c r="A42" s="408">
        <v>0.75</v>
      </c>
      <c r="B42" s="409" cm="1">
        <f t="array" ref="B42">SUM(Deslocamento_leve,TPB*Tabela1[[#This Row],[% TPB]])</f>
        <v>997.5</v>
      </c>
      <c r="C42" s="410">
        <v>1.885</v>
      </c>
      <c r="D42" s="424">
        <v>13.5</v>
      </c>
      <c r="E42" s="416">
        <v>238.161599528598</v>
      </c>
      <c r="F42" s="409">
        <f>PRODUCT(Tabela1[[#This Row],[Resitência ao avanço (kN)]],1.15,Tabela1[[#This Row],[Velocidade (nós)]],0.514)</f>
        <v>1900.4938399982827</v>
      </c>
      <c r="G42" s="420">
        <f>Tabela1[[#This Row],[EHP]]/0.55</f>
        <v>3455.4433454514228</v>
      </c>
      <c r="H42" s="409">
        <f>PRODUCT(Tabela1[[#This Row],[BHP]],1.2)</f>
        <v>4146.5320145417072</v>
      </c>
      <c r="I42" s="409">
        <v>3.7</v>
      </c>
      <c r="J42" s="409">
        <f>ROUNDDOWN(PRODUCT(Tabela1[[#This Row],[Viagens Redondas (30 dias)]],365/30),2)</f>
        <v>45.01</v>
      </c>
    </row>
    <row r="43" spans="1:10" ht="13.5" x14ac:dyDescent="0.2">
      <c r="A43" s="408">
        <v>0.75</v>
      </c>
      <c r="B43" s="409" cm="1">
        <f t="array" ref="B43">SUM(Deslocamento_leve,TPB*Tabela1[[#This Row],[% TPB]])</f>
        <v>997.5</v>
      </c>
      <c r="C43" s="410">
        <v>1.885</v>
      </c>
      <c r="D43" s="424">
        <v>14</v>
      </c>
      <c r="E43" s="416">
        <v>279.79334690689001</v>
      </c>
      <c r="F43" s="409">
        <f>PRODUCT(Tabela1[[#This Row],[Resitência ao avanço (kN)]],1.15,Tabela1[[#This Row],[Velocidade (nós)]],0.514)</f>
        <v>2315.4018629932775</v>
      </c>
      <c r="G43" s="420">
        <f>Tabela1[[#This Row],[EHP]]/0.55</f>
        <v>4209.8215690786865</v>
      </c>
      <c r="H43" s="409">
        <f>PRODUCT(Tabela1[[#This Row],[BHP]],1.2)</f>
        <v>5051.7858828944236</v>
      </c>
      <c r="I43" s="409">
        <v>3.77</v>
      </c>
      <c r="J43" s="409">
        <f>ROUNDDOWN(PRODUCT(Tabela1[[#This Row],[Viagens Redondas (30 dias)]],365/30),2)</f>
        <v>45.86</v>
      </c>
    </row>
    <row r="44" spans="1:10" ht="13.5" x14ac:dyDescent="0.2">
      <c r="A44" s="408">
        <v>0.75</v>
      </c>
      <c r="B44" s="409" cm="1">
        <f t="array" ref="B44">SUM(Deslocamento_leve,TPB*Tabela1[[#This Row],[% TPB]])</f>
        <v>997.5</v>
      </c>
      <c r="C44" s="410">
        <v>1.885</v>
      </c>
      <c r="D44" s="424">
        <v>14.5</v>
      </c>
      <c r="E44" s="416">
        <v>346.30506737970501</v>
      </c>
      <c r="F44" s="409">
        <f>PRODUCT(Tabela1[[#This Row],[Resitência ao avanço (kN)]],1.15,Tabela1[[#This Row],[Velocidade (nós)]],0.514)</f>
        <v>2968.1634172580825</v>
      </c>
      <c r="G44" s="420">
        <f>Tabela1[[#This Row],[EHP]]/0.55</f>
        <v>5396.660758651059</v>
      </c>
      <c r="H44" s="409">
        <f>PRODUCT(Tabela1[[#This Row],[BHP]],1.2)</f>
        <v>6475.992910381271</v>
      </c>
      <c r="I44" s="409">
        <v>3.83</v>
      </c>
      <c r="J44" s="409">
        <f>ROUNDDOWN(PRODUCT(Tabela1[[#This Row],[Viagens Redondas (30 dias)]],365/30),2)</f>
        <v>46.59</v>
      </c>
    </row>
    <row r="45" spans="1:10" ht="13.5" x14ac:dyDescent="0.2">
      <c r="A45" s="408">
        <v>0.75</v>
      </c>
      <c r="B45" s="409" cm="1">
        <f t="array" ref="B45">SUM(Deslocamento_leve,TPB*Tabela1[[#This Row],[% TPB]])</f>
        <v>997.5</v>
      </c>
      <c r="C45" s="410">
        <v>1.885</v>
      </c>
      <c r="D45" s="424">
        <v>15</v>
      </c>
      <c r="E45" s="416">
        <v>439.76682036880698</v>
      </c>
      <c r="F45" s="409">
        <f>PRODUCT(Tabela1[[#This Row],[Resitência ao avanço (kN)]],1.15,Tabela1[[#This Row],[Velocidade (nós)]],0.514)</f>
        <v>3899.1925128000271</v>
      </c>
      <c r="G45" s="420">
        <f>Tabela1[[#This Row],[EHP]]/0.55</f>
        <v>7089.4409323636846</v>
      </c>
      <c r="H45" s="409">
        <f>PRODUCT(Tabela1[[#This Row],[BHP]],1.2)</f>
        <v>8507.3291188364219</v>
      </c>
      <c r="I45" s="409">
        <v>3.9</v>
      </c>
      <c r="J45" s="409">
        <f>ROUNDDOWN(PRODUCT(Tabela1[[#This Row],[Viagens Redondas (30 dias)]],365/30),2)</f>
        <v>47.45</v>
      </c>
    </row>
    <row r="46" spans="1:10" ht="13.5" x14ac:dyDescent="0.2">
      <c r="A46" s="408">
        <v>0.75</v>
      </c>
      <c r="B46" s="409" cm="1">
        <f t="array" ref="B46">SUM(Deslocamento_leve,TPB*Tabela1[[#This Row],[% TPB]])</f>
        <v>997.5</v>
      </c>
      <c r="C46" s="410">
        <v>1.885</v>
      </c>
      <c r="D46" s="424">
        <v>15.5</v>
      </c>
      <c r="E46" s="416">
        <v>547.05390335915195</v>
      </c>
      <c r="F46" s="409">
        <f>PRODUCT(Tabela1[[#This Row],[Resitência ao avanço (kN)]],1.15,Tabela1[[#This Row],[Velocidade (nós)]],0.514)</f>
        <v>5012.1352152717172</v>
      </c>
      <c r="G46" s="420">
        <f>Tabela1[[#This Row],[EHP]]/0.55</f>
        <v>9112.973118675849</v>
      </c>
      <c r="H46" s="409">
        <f>PRODUCT(Tabela1[[#This Row],[BHP]],1.2)</f>
        <v>10935.567742411018</v>
      </c>
      <c r="I46" s="409">
        <v>3.96</v>
      </c>
      <c r="J46" s="409">
        <f>ROUNDDOWN(PRODUCT(Tabela1[[#This Row],[Viagens Redondas (30 dias)]],365/30),2)</f>
        <v>48.18</v>
      </c>
    </row>
    <row r="47" spans="1:10" ht="13.5" x14ac:dyDescent="0.2">
      <c r="A47" s="408">
        <v>0.75</v>
      </c>
      <c r="B47" s="409" cm="1">
        <f t="array" ref="B47">SUM(Deslocamento_leve,TPB*Tabela1[[#This Row],[% TPB]])</f>
        <v>997.5</v>
      </c>
      <c r="C47" s="410">
        <v>1.885</v>
      </c>
      <c r="D47" s="424">
        <v>16</v>
      </c>
      <c r="E47" s="416">
        <v>643.06468059079202</v>
      </c>
      <c r="F47" s="409">
        <f>PRODUCT(Tabela1[[#This Row],[Resitência ao avanço (kN)]],1.15,Tabela1[[#This Row],[Velocidade (nós)]],0.514)</f>
        <v>6081.8485231554741</v>
      </c>
      <c r="G47" s="420">
        <f>Tabela1[[#This Row],[EHP]]/0.55</f>
        <v>11057.906405737225</v>
      </c>
      <c r="H47" s="409">
        <f>PRODUCT(Tabela1[[#This Row],[BHP]],1.2)</f>
        <v>13269.48768688467</v>
      </c>
      <c r="I47" s="409">
        <v>4</v>
      </c>
      <c r="J47" s="409">
        <f>ROUNDDOWN(PRODUCT(Tabela1[[#This Row],[Viagens Redondas (30 dias)]],365/30),2)</f>
        <v>48.66</v>
      </c>
    </row>
    <row r="48" spans="1:10" ht="13.5" x14ac:dyDescent="0.2">
      <c r="A48" s="412">
        <v>0.5</v>
      </c>
      <c r="B48" s="413" cm="1">
        <f t="array" ref="B48">SUM(Deslocamento_leve,TPB*Tabela1[[#This Row],[% TPB]])</f>
        <v>921</v>
      </c>
      <c r="C48" s="413">
        <v>1.77</v>
      </c>
      <c r="D48" s="425">
        <v>5.5</v>
      </c>
      <c r="E48" s="417">
        <v>10.029262042025699</v>
      </c>
      <c r="F48" s="413">
        <f>PRODUCT(Tabela1[[#This Row],[Resitência ao avanço (kN)]],1.15,Tabela1[[#This Row],[Velocidade (nós)]],0.514)</f>
        <v>32.605632361727643</v>
      </c>
      <c r="G48" s="421">
        <f>Tabela1[[#This Row],[EHP]]/0.55</f>
        <v>59.282967930413889</v>
      </c>
      <c r="H48" s="413">
        <f>PRODUCT(Tabela1[[#This Row],[BHP]],1.2)</f>
        <v>71.13956151649667</v>
      </c>
      <c r="I48" s="413">
        <v>2</v>
      </c>
      <c r="J48" s="413">
        <f>ROUNDDOWN(PRODUCT(Tabela1[[#This Row],[Viagens Redondas (30 dias)]],365/30),2)</f>
        <v>24.33</v>
      </c>
    </row>
    <row r="49" spans="1:10" ht="13.5" x14ac:dyDescent="0.2">
      <c r="A49" s="412">
        <v>0.5</v>
      </c>
      <c r="B49" s="413" cm="1">
        <f t="array" ref="B49">SUM(Deslocamento_leve,TPB*Tabela1[[#This Row],[% TPB]])</f>
        <v>921</v>
      </c>
      <c r="C49" s="413">
        <v>1.77</v>
      </c>
      <c r="D49" s="425">
        <v>6</v>
      </c>
      <c r="E49" s="417">
        <v>11.9407813937772</v>
      </c>
      <c r="F49" s="413">
        <f>PRODUCT(Tabela1[[#This Row],[Resitência ao avanço (kN)]],1.15,Tabela1[[#This Row],[Velocidade (nós)]],0.514)</f>
        <v>42.349175291170219</v>
      </c>
      <c r="G49" s="421">
        <f>Tabela1[[#This Row],[EHP]]/0.55</f>
        <v>76.998500529400388</v>
      </c>
      <c r="H49" s="413">
        <f>PRODUCT(Tabela1[[#This Row],[BHP]],1.2)</f>
        <v>92.39820063528046</v>
      </c>
      <c r="I49" s="413">
        <v>2.16</v>
      </c>
      <c r="J49" s="413">
        <f>ROUNDDOWN(PRODUCT(Tabela1[[#This Row],[Viagens Redondas (30 dias)]],365/30),2)</f>
        <v>26.28</v>
      </c>
    </row>
    <row r="50" spans="1:10" ht="13.5" x14ac:dyDescent="0.2">
      <c r="A50" s="412">
        <v>0.5</v>
      </c>
      <c r="B50" s="413" cm="1">
        <f t="array" ref="B50">SUM(Deslocamento_leve,TPB*Tabela1[[#This Row],[% TPB]])</f>
        <v>921</v>
      </c>
      <c r="C50" s="413">
        <v>1.77</v>
      </c>
      <c r="D50" s="425">
        <v>6.5</v>
      </c>
      <c r="E50" s="417">
        <v>14.1846794928755</v>
      </c>
      <c r="F50" s="413">
        <f>PRODUCT(Tabela1[[#This Row],[Resitência ao avanço (kN)]],1.15,Tabela1[[#This Row],[Velocidade (nós)]],0.514)</f>
        <v>54.499666313551593</v>
      </c>
      <c r="G50" s="421">
        <f>Tabela1[[#This Row],[EHP]]/0.55</f>
        <v>99.090302388275617</v>
      </c>
      <c r="H50" s="413">
        <f>PRODUCT(Tabela1[[#This Row],[BHP]],1.2)</f>
        <v>118.90836286593074</v>
      </c>
      <c r="I50" s="413">
        <v>2.2999999999999998</v>
      </c>
      <c r="J50" s="413">
        <f>ROUNDDOWN(PRODUCT(Tabela1[[#This Row],[Viagens Redondas (30 dias)]],365/30),2)</f>
        <v>27.98</v>
      </c>
    </row>
    <row r="51" spans="1:10" ht="13.5" x14ac:dyDescent="0.2">
      <c r="A51" s="412">
        <v>0.5</v>
      </c>
      <c r="B51" s="413" cm="1">
        <f t="array" ref="B51">SUM(Deslocamento_leve,TPB*Tabela1[[#This Row],[% TPB]])</f>
        <v>921</v>
      </c>
      <c r="C51" s="413">
        <v>1.77</v>
      </c>
      <c r="D51" s="425">
        <v>7</v>
      </c>
      <c r="E51" s="417">
        <v>16.904651407846799</v>
      </c>
      <c r="F51" s="413">
        <f>PRODUCT(Tabela1[[#This Row],[Resitência ao avanço (kN)]],1.15,Tabela1[[#This Row],[Velocidade (nós)]],0.514)</f>
        <v>69.9463761302477</v>
      </c>
      <c r="G51" s="421">
        <f>Tabela1[[#This Row],[EHP]]/0.55</f>
        <v>127.17522932772307</v>
      </c>
      <c r="H51" s="413">
        <f>PRODUCT(Tabela1[[#This Row],[BHP]],1.2)</f>
        <v>152.61027519326768</v>
      </c>
      <c r="I51" s="413">
        <v>2.44</v>
      </c>
      <c r="J51" s="413">
        <f>ROUNDDOWN(PRODUCT(Tabela1[[#This Row],[Viagens Redondas (30 dias)]],365/30),2)</f>
        <v>29.68</v>
      </c>
    </row>
    <row r="52" spans="1:10" ht="13.5" x14ac:dyDescent="0.2">
      <c r="A52" s="412">
        <v>0.5</v>
      </c>
      <c r="B52" s="413" cm="1">
        <f t="array" ref="B52">SUM(Deslocamento_leve,TPB*Tabela1[[#This Row],[% TPB]])</f>
        <v>921</v>
      </c>
      <c r="C52" s="413">
        <v>1.77</v>
      </c>
      <c r="D52" s="425">
        <v>7.5</v>
      </c>
      <c r="E52" s="417">
        <v>20.293181998196101</v>
      </c>
      <c r="F52" s="413">
        <f>PRODUCT(Tabela1[[#This Row],[Resitência ao avanço (kN)]],1.15,Tabela1[[#This Row],[Velocidade (nós)]],0.514)</f>
        <v>89.96474909350286</v>
      </c>
      <c r="G52" s="421">
        <f>Tabela1[[#This Row],[EHP]]/0.55</f>
        <v>163.57227107909608</v>
      </c>
      <c r="H52" s="413">
        <f>PRODUCT(Tabela1[[#This Row],[BHP]],1.2)</f>
        <v>196.2867252949153</v>
      </c>
      <c r="I52" s="413">
        <v>2.57</v>
      </c>
      <c r="J52" s="413">
        <f>ROUNDDOWN(PRODUCT(Tabela1[[#This Row],[Viagens Redondas (30 dias)]],365/30),2)</f>
        <v>31.26</v>
      </c>
    </row>
    <row r="53" spans="1:10" ht="13.5" x14ac:dyDescent="0.2">
      <c r="A53" s="412">
        <v>0.5</v>
      </c>
      <c r="B53" s="413" cm="1">
        <f t="array" ref="B53">SUM(Deslocamento_leve,TPB*Tabela1[[#This Row],[% TPB]])</f>
        <v>921</v>
      </c>
      <c r="C53" s="413">
        <v>1.77</v>
      </c>
      <c r="D53" s="425">
        <v>8</v>
      </c>
      <c r="E53" s="417">
        <v>24.5892381747665</v>
      </c>
      <c r="F53" s="413">
        <f>PRODUCT(Tabela1[[#This Row],[Resitência ao avanço (kN)]],1.15,Tabela1[[#This Row],[Velocidade (nós)]],0.514)</f>
        <v>116.27758948083581</v>
      </c>
      <c r="G53" s="421">
        <f>Tabela1[[#This Row],[EHP]]/0.55</f>
        <v>211.4137990560651</v>
      </c>
      <c r="H53" s="413">
        <f>PRODUCT(Tabela1[[#This Row],[BHP]],1.2)</f>
        <v>253.6965588672781</v>
      </c>
      <c r="I53" s="413">
        <v>2.69</v>
      </c>
      <c r="J53" s="413">
        <f>ROUNDDOWN(PRODUCT(Tabela1[[#This Row],[Viagens Redondas (30 dias)]],365/30),2)</f>
        <v>32.72</v>
      </c>
    </row>
    <row r="54" spans="1:10" ht="13.5" x14ac:dyDescent="0.2">
      <c r="A54" s="412">
        <v>0.5</v>
      </c>
      <c r="B54" s="413" cm="1">
        <f t="array" ref="B54">SUM(Deslocamento_leve,TPB*Tabela1[[#This Row],[% TPB]])</f>
        <v>921</v>
      </c>
      <c r="C54" s="413">
        <v>1.77</v>
      </c>
      <c r="D54" s="425">
        <v>8.5</v>
      </c>
      <c r="E54" s="417">
        <v>30.071660757400998</v>
      </c>
      <c r="F54" s="413">
        <f>PRODUCT(Tabela1[[#This Row],[Resitência ao avanço (kN)]],1.15,Tabela1[[#This Row],[Velocidade (nós)]],0.514)</f>
        <v>151.09054872644768</v>
      </c>
      <c r="G54" s="421">
        <f>Tabela1[[#This Row],[EHP]]/0.55</f>
        <v>274.71008859354123</v>
      </c>
      <c r="H54" s="413">
        <f>PRODUCT(Tabela1[[#This Row],[BHP]],1.2)</f>
        <v>329.65210631224949</v>
      </c>
      <c r="I54" s="413">
        <v>2.81</v>
      </c>
      <c r="J54" s="413">
        <f>ROUNDDOWN(PRODUCT(Tabela1[[#This Row],[Viagens Redondas (30 dias)]],365/30),2)</f>
        <v>34.18</v>
      </c>
    </row>
    <row r="55" spans="1:10" ht="13.5" x14ac:dyDescent="0.2">
      <c r="A55" s="412">
        <v>0.5</v>
      </c>
      <c r="B55" s="413" cm="1">
        <f t="array" ref="B55">SUM(Deslocamento_leve,TPB*Tabela1[[#This Row],[% TPB]])</f>
        <v>921</v>
      </c>
      <c r="C55" s="413">
        <v>1.77</v>
      </c>
      <c r="D55" s="425">
        <v>9</v>
      </c>
      <c r="E55" s="417">
        <v>37.1533301800687</v>
      </c>
      <c r="F55" s="413">
        <f>PRODUCT(Tabela1[[#This Row],[Resitência ao avanço (kN)]],1.15,Tabela1[[#This Row],[Velocidade (nós)]],0.514)</f>
        <v>197.65200122494747</v>
      </c>
      <c r="G55" s="421">
        <f>Tabela1[[#This Row],[EHP]]/0.55</f>
        <v>359.3672749544499</v>
      </c>
      <c r="H55" s="413">
        <f>PRODUCT(Tabela1[[#This Row],[BHP]],1.2)</f>
        <v>431.24072994533987</v>
      </c>
      <c r="I55" s="413">
        <v>2.92</v>
      </c>
      <c r="J55" s="413">
        <f>ROUNDDOWN(PRODUCT(Tabela1[[#This Row],[Viagens Redondas (30 dias)]],365/30),2)</f>
        <v>35.520000000000003</v>
      </c>
    </row>
    <row r="56" spans="1:10" ht="13.5" x14ac:dyDescent="0.2">
      <c r="A56" s="412">
        <v>0.5</v>
      </c>
      <c r="B56" s="413" cm="1">
        <f t="array" ref="B56">SUM(Deslocamento_leve,TPB*Tabela1[[#This Row],[% TPB]])</f>
        <v>921</v>
      </c>
      <c r="C56" s="413">
        <v>1.77</v>
      </c>
      <c r="D56" s="425">
        <v>9.5</v>
      </c>
      <c r="E56" s="417">
        <v>46.084776055533403</v>
      </c>
      <c r="F56" s="413">
        <f>PRODUCT(Tabela1[[#This Row],[Resitência ao avanço (kN)]],1.15,Tabela1[[#This Row],[Velocidade (nós)]],0.514)</f>
        <v>258.78675570104502</v>
      </c>
      <c r="G56" s="421">
        <f>Tabela1[[#This Row],[EHP]]/0.55</f>
        <v>470.52137400190003</v>
      </c>
      <c r="H56" s="413">
        <f>PRODUCT(Tabela1[[#This Row],[BHP]],1.2)</f>
        <v>564.62564880228001</v>
      </c>
      <c r="I56" s="413">
        <v>3.02</v>
      </c>
      <c r="J56" s="413">
        <f>ROUNDDOWN(PRODUCT(Tabela1[[#This Row],[Viagens Redondas (30 dias)]],365/30),2)</f>
        <v>36.74</v>
      </c>
    </row>
    <row r="57" spans="1:10" ht="13.5" x14ac:dyDescent="0.2">
      <c r="A57" s="412">
        <v>0.5</v>
      </c>
      <c r="B57" s="413" cm="1">
        <f t="array" ref="B57">SUM(Deslocamento_leve,TPB*Tabela1[[#This Row],[% TPB]])</f>
        <v>921</v>
      </c>
      <c r="C57" s="413">
        <v>1.77</v>
      </c>
      <c r="D57" s="425">
        <v>10</v>
      </c>
      <c r="E57" s="417">
        <v>57.290226452041701</v>
      </c>
      <c r="F57" s="413">
        <f>PRODUCT(Tabela1[[#This Row],[Resitência ao avanço (kN)]],1.15,Tabela1[[#This Row],[Velocidade (nós)]],0.514)</f>
        <v>338.64252855801845</v>
      </c>
      <c r="G57" s="421">
        <f>Tabela1[[#This Row],[EHP]]/0.55</f>
        <v>615.71368828730624</v>
      </c>
      <c r="H57" s="413">
        <f>PRODUCT(Tabela1[[#This Row],[BHP]],1.2)</f>
        <v>738.85642594476747</v>
      </c>
      <c r="I57" s="413">
        <v>3.12</v>
      </c>
      <c r="J57" s="413">
        <f>ROUNDDOWN(PRODUCT(Tabela1[[#This Row],[Viagens Redondas (30 dias)]],365/30),2)</f>
        <v>37.96</v>
      </c>
    </row>
    <row r="58" spans="1:10" ht="13.5" x14ac:dyDescent="0.2">
      <c r="A58" s="412">
        <v>0.5</v>
      </c>
      <c r="B58" s="413" cm="1">
        <f t="array" ref="B58">SUM(Deslocamento_leve,TPB*Tabela1[[#This Row],[% TPB]])</f>
        <v>921</v>
      </c>
      <c r="C58" s="413">
        <v>1.77</v>
      </c>
      <c r="D58" s="425">
        <v>10.5</v>
      </c>
      <c r="E58" s="417">
        <v>71.036033565446601</v>
      </c>
      <c r="F58" s="413">
        <f>PRODUCT(Tabela1[[#This Row],[Resitência ao avanço (kN)]],1.15,Tabela1[[#This Row],[Velocidade (nós)]],0.514)</f>
        <v>440.88869412562252</v>
      </c>
      <c r="G58" s="421">
        <f>Tabela1[[#This Row],[EHP]]/0.55</f>
        <v>801.61580750113183</v>
      </c>
      <c r="H58" s="413">
        <f>PRODUCT(Tabela1[[#This Row],[BHP]],1.2)</f>
        <v>961.93896900135815</v>
      </c>
      <c r="I58" s="413">
        <v>3.21</v>
      </c>
      <c r="J58" s="413">
        <f>ROUNDDOWN(PRODUCT(Tabela1[[#This Row],[Viagens Redondas (30 dias)]],365/30),2)</f>
        <v>39.049999999999997</v>
      </c>
    </row>
    <row r="59" spans="1:10" ht="13.5" x14ac:dyDescent="0.2">
      <c r="A59" s="412">
        <v>0.5</v>
      </c>
      <c r="B59" s="413" cm="1">
        <f t="array" ref="B59">SUM(Deslocamento_leve,TPB*Tabela1[[#This Row],[% TPB]])</f>
        <v>921</v>
      </c>
      <c r="C59" s="413">
        <v>1.77</v>
      </c>
      <c r="D59" s="425">
        <v>11</v>
      </c>
      <c r="E59" s="417">
        <v>86.938479256410702</v>
      </c>
      <c r="F59" s="413">
        <f>PRODUCT(Tabela1[[#This Row],[Resitência ao avanço (kN)]],1.15,Tabela1[[#This Row],[Velocidade (nós)]],0.514)</f>
        <v>565.28268597310796</v>
      </c>
      <c r="G59" s="421">
        <f>Tabela1[[#This Row],[EHP]]/0.55</f>
        <v>1027.7867017692872</v>
      </c>
      <c r="H59" s="413">
        <f>PRODUCT(Tabela1[[#This Row],[BHP]],1.2)</f>
        <v>1233.3440421231446</v>
      </c>
      <c r="I59" s="413">
        <v>3.3</v>
      </c>
      <c r="J59" s="413">
        <f>ROUNDDOWN(PRODUCT(Tabela1[[#This Row],[Viagens Redondas (30 dias)]],365/30),2)</f>
        <v>40.15</v>
      </c>
    </row>
    <row r="60" spans="1:10" ht="13.5" x14ac:dyDescent="0.2">
      <c r="A60" s="412">
        <v>0.5</v>
      </c>
      <c r="B60" s="413" cm="1">
        <f t="array" ref="B60">SUM(Deslocamento_leve,TPB*Tabela1[[#This Row],[% TPB]])</f>
        <v>921</v>
      </c>
      <c r="C60" s="413">
        <v>1.77</v>
      </c>
      <c r="D60" s="425">
        <v>11.5</v>
      </c>
      <c r="E60" s="417">
        <v>107.16728020567101</v>
      </c>
      <c r="F60" s="413">
        <f>PRODUCT(Tabela1[[#This Row],[Resitência ao avanço (kN)]],1.15,Tabela1[[#This Row],[Velocidade (nós)]],0.514)</f>
        <v>728.48566229007952</v>
      </c>
      <c r="G60" s="421">
        <f>Tabela1[[#This Row],[EHP]]/0.55</f>
        <v>1324.5193859819626</v>
      </c>
      <c r="H60" s="413">
        <f>PRODUCT(Tabela1[[#This Row],[BHP]],1.2)</f>
        <v>1589.423263178355</v>
      </c>
      <c r="I60" s="413">
        <v>3.39</v>
      </c>
      <c r="J60" s="413">
        <f>ROUNDDOWN(PRODUCT(Tabela1[[#This Row],[Viagens Redondas (30 dias)]],365/30),2)</f>
        <v>41.24</v>
      </c>
    </row>
    <row r="61" spans="1:10" ht="13.5" x14ac:dyDescent="0.2">
      <c r="A61" s="412">
        <v>0.5</v>
      </c>
      <c r="B61" s="413" cm="1">
        <f t="array" ref="B61">SUM(Deslocamento_leve,TPB*Tabela1[[#This Row],[% TPB]])</f>
        <v>921</v>
      </c>
      <c r="C61" s="413">
        <v>1.77</v>
      </c>
      <c r="D61" s="425">
        <v>12</v>
      </c>
      <c r="E61" s="417">
        <v>133.305786351731</v>
      </c>
      <c r="F61" s="413">
        <f>PRODUCT(Tabela1[[#This Row],[Resitência ao avanço (kN)]],1.15,Tabela1[[#This Row],[Velocidade (nós)]],0.514)</f>
        <v>945.56460375009817</v>
      </c>
      <c r="G61" s="421">
        <f>Tabela1[[#This Row],[EHP]]/0.55</f>
        <v>1719.2083704547238</v>
      </c>
      <c r="H61" s="413">
        <f>PRODUCT(Tabela1[[#This Row],[BHP]],1.2)</f>
        <v>2063.0500445456682</v>
      </c>
      <c r="I61" s="413">
        <v>3.47</v>
      </c>
      <c r="J61" s="413">
        <f>ROUNDDOWN(PRODUCT(Tabela1[[#This Row],[Viagens Redondas (30 dias)]],365/30),2)</f>
        <v>42.21</v>
      </c>
    </row>
    <row r="62" spans="1:10" ht="13.5" x14ac:dyDescent="0.2">
      <c r="A62" s="412">
        <v>0.5</v>
      </c>
      <c r="B62" s="413" cm="1">
        <f t="array" ref="B62">SUM(Deslocamento_leve,TPB*Tabela1[[#This Row],[% TPB]])</f>
        <v>921</v>
      </c>
      <c r="C62" s="413">
        <v>1.77</v>
      </c>
      <c r="D62" s="425">
        <v>12.5</v>
      </c>
      <c r="E62" s="417">
        <v>160.41489265796599</v>
      </c>
      <c r="F62" s="413">
        <f>PRODUCT(Tabela1[[#This Row],[Resitência ao avanço (kN)]],1.15,Tabela1[[#This Row],[Velocidade (nós)]],0.514)</f>
        <v>1185.2655381265461</v>
      </c>
      <c r="G62" s="421">
        <f>Tabela1[[#This Row],[EHP]]/0.55</f>
        <v>2155.0282511391747</v>
      </c>
      <c r="H62" s="413">
        <f>PRODUCT(Tabela1[[#This Row],[BHP]],1.2)</f>
        <v>2586.0339013670095</v>
      </c>
      <c r="I62" s="413">
        <v>3.55</v>
      </c>
      <c r="J62" s="413">
        <f>ROUNDDOWN(PRODUCT(Tabela1[[#This Row],[Viagens Redondas (30 dias)]],365/30),2)</f>
        <v>43.19</v>
      </c>
    </row>
    <row r="63" spans="1:10" ht="13.5" x14ac:dyDescent="0.2">
      <c r="A63" s="412">
        <v>0.5</v>
      </c>
      <c r="B63" s="413" cm="1">
        <f t="array" ref="B63">SUM(Deslocamento_leve,TPB*Tabela1[[#This Row],[% TPB]])</f>
        <v>921</v>
      </c>
      <c r="C63" s="413">
        <v>1.77</v>
      </c>
      <c r="D63" s="425">
        <v>13</v>
      </c>
      <c r="E63" s="417">
        <v>184.08546548426199</v>
      </c>
      <c r="F63" s="413">
        <f>PRODUCT(Tabela1[[#This Row],[Resitência ao avanço (kN)]],1.15,Tabela1[[#This Row],[Velocidade (nós)]],0.514)</f>
        <v>1414.5679424207144</v>
      </c>
      <c r="G63" s="421">
        <f>Tabela1[[#This Row],[EHP]]/0.55</f>
        <v>2571.9417134922078</v>
      </c>
      <c r="H63" s="413">
        <f>PRODUCT(Tabela1[[#This Row],[BHP]],1.2)</f>
        <v>3086.3300561906494</v>
      </c>
      <c r="I63" s="413">
        <v>3.62</v>
      </c>
      <c r="J63" s="413">
        <f>ROUNDDOWN(PRODUCT(Tabela1[[#This Row],[Viagens Redondas (30 dias)]],365/30),2)</f>
        <v>44.04</v>
      </c>
    </row>
    <row r="64" spans="1:10" ht="13.5" x14ac:dyDescent="0.2">
      <c r="A64" s="412">
        <v>0.5</v>
      </c>
      <c r="B64" s="413" cm="1">
        <f t="array" ref="B64">SUM(Deslocamento_leve,TPB*Tabela1[[#This Row],[% TPB]])</f>
        <v>921</v>
      </c>
      <c r="C64" s="413">
        <v>1.77</v>
      </c>
      <c r="D64" s="425">
        <v>13.5</v>
      </c>
      <c r="E64" s="417">
        <v>210.04344563142499</v>
      </c>
      <c r="F64" s="413">
        <f>PRODUCT(Tabela1[[#This Row],[Resitência ao avanço (kN)]],1.15,Tabela1[[#This Row],[Velocidade (nós)]],0.514)</f>
        <v>1676.1151896219267</v>
      </c>
      <c r="G64" s="421">
        <f>Tabela1[[#This Row],[EHP]]/0.55</f>
        <v>3047.4821629489575</v>
      </c>
      <c r="H64" s="413">
        <f>PRODUCT(Tabela1[[#This Row],[BHP]],1.2)</f>
        <v>3656.9785955387488</v>
      </c>
      <c r="I64" s="413">
        <v>3.7</v>
      </c>
      <c r="J64" s="413">
        <f>ROUNDDOWN(PRODUCT(Tabela1[[#This Row],[Viagens Redondas (30 dias)]],365/30),2)</f>
        <v>45.01</v>
      </c>
    </row>
    <row r="65" spans="1:10" ht="13.5" x14ac:dyDescent="0.2">
      <c r="A65" s="412">
        <v>0.5</v>
      </c>
      <c r="B65" s="413" cm="1">
        <f t="array" ref="B65">SUM(Deslocamento_leve,TPB*Tabela1[[#This Row],[% TPB]])</f>
        <v>921</v>
      </c>
      <c r="C65" s="413">
        <v>1.77</v>
      </c>
      <c r="D65" s="425">
        <v>14</v>
      </c>
      <c r="E65" s="417">
        <v>249.38243882673001</v>
      </c>
      <c r="F65" s="413">
        <f>PRODUCT(Tabela1[[#This Row],[Resitência ao avanço (kN)]],1.15,Tabela1[[#This Row],[Velocidade (nós)]],0.514)</f>
        <v>2063.7394342667217</v>
      </c>
      <c r="G65" s="421">
        <f>Tabela1[[#This Row],[EHP]]/0.55</f>
        <v>3752.2535168485847</v>
      </c>
      <c r="H65" s="413">
        <f>PRODUCT(Tabela1[[#This Row],[BHP]],1.2)</f>
        <v>4502.7042202183011</v>
      </c>
      <c r="I65" s="413">
        <v>3.77</v>
      </c>
      <c r="J65" s="413">
        <f>ROUNDDOWN(PRODUCT(Tabela1[[#This Row],[Viagens Redondas (30 dias)]],365/30),2)</f>
        <v>45.86</v>
      </c>
    </row>
    <row r="66" spans="1:10" ht="13.5" x14ac:dyDescent="0.2">
      <c r="A66" s="412">
        <v>0.5</v>
      </c>
      <c r="B66" s="413" cm="1">
        <f t="array" ref="B66">SUM(Deslocamento_leve,TPB*Tabela1[[#This Row],[% TPB]])</f>
        <v>921</v>
      </c>
      <c r="C66" s="413">
        <v>1.77</v>
      </c>
      <c r="D66" s="425">
        <v>14.5</v>
      </c>
      <c r="E66" s="417">
        <v>309.97587806090797</v>
      </c>
      <c r="F66" s="413">
        <f>PRODUCT(Tabela1[[#This Row],[Resitência ao avanço (kN)]],1.15,Tabela1[[#This Row],[Velocidade (nós)]],0.514)</f>
        <v>2656.7877520661391</v>
      </c>
      <c r="G66" s="421">
        <f>Tabela1[[#This Row],[EHP]]/0.55</f>
        <v>4830.5231855747979</v>
      </c>
      <c r="H66" s="413">
        <f>PRODUCT(Tabela1[[#This Row],[BHP]],1.2)</f>
        <v>5796.6278226897575</v>
      </c>
      <c r="I66" s="413">
        <v>3.83</v>
      </c>
      <c r="J66" s="413">
        <f>ROUNDDOWN(PRODUCT(Tabela1[[#This Row],[Viagens Redondas (30 dias)]],365/30),2)</f>
        <v>46.59</v>
      </c>
    </row>
    <row r="67" spans="1:10" ht="13.5" x14ac:dyDescent="0.2">
      <c r="A67" s="412">
        <v>0.5</v>
      </c>
      <c r="B67" s="413" cm="1">
        <f t="array" ref="B67">SUM(Deslocamento_leve,TPB*Tabela1[[#This Row],[% TPB]])</f>
        <v>921</v>
      </c>
      <c r="C67" s="413">
        <v>1.77</v>
      </c>
      <c r="D67" s="425">
        <v>15</v>
      </c>
      <c r="E67" s="417">
        <v>390.52648899660198</v>
      </c>
      <c r="F67" s="413">
        <f>PRODUCT(Tabela1[[#This Row],[Resitência ao avanço (kN)]],1.15,Tabela1[[#This Row],[Velocidade (nós)]],0.514)</f>
        <v>3462.6031146883711</v>
      </c>
      <c r="G67" s="421">
        <f>Tabela1[[#This Row],[EHP]]/0.55</f>
        <v>6295.6420267061285</v>
      </c>
      <c r="H67" s="413">
        <f>PRODUCT(Tabela1[[#This Row],[BHP]],1.2)</f>
        <v>7554.770432047354</v>
      </c>
      <c r="I67" s="413">
        <v>3.9</v>
      </c>
      <c r="J67" s="413">
        <f>ROUNDDOWN(PRODUCT(Tabela1[[#This Row],[Viagens Redondas (30 dias)]],365/30),2)</f>
        <v>47.45</v>
      </c>
    </row>
    <row r="68" spans="1:10" ht="13.5" x14ac:dyDescent="0.2">
      <c r="A68" s="412">
        <v>0.5</v>
      </c>
      <c r="B68" s="413" cm="1">
        <f t="array" ref="B68">SUM(Deslocamento_leve,TPB*Tabela1[[#This Row],[% TPB]])</f>
        <v>921</v>
      </c>
      <c r="C68" s="413">
        <v>1.77</v>
      </c>
      <c r="D68" s="425">
        <v>15.5</v>
      </c>
      <c r="E68" s="417">
        <v>477.13592394114198</v>
      </c>
      <c r="F68" s="413">
        <f>PRODUCT(Tabela1[[#This Row],[Resitência ao avanço (kN)]],1.15,Tabela1[[#This Row],[Velocidade (nós)]],0.514)</f>
        <v>4371.5431919449393</v>
      </c>
      <c r="G68" s="421">
        <f>Tabela1[[#This Row],[EHP]]/0.55</f>
        <v>7948.2603489907979</v>
      </c>
      <c r="H68" s="413">
        <f>PRODUCT(Tabela1[[#This Row],[BHP]],1.2)</f>
        <v>9537.9124187889574</v>
      </c>
      <c r="I68" s="413">
        <v>3.96</v>
      </c>
      <c r="J68" s="413">
        <f>ROUNDDOWN(PRODUCT(Tabela1[[#This Row],[Viagens Redondas (30 dias)]],365/30),2)</f>
        <v>48.18</v>
      </c>
    </row>
    <row r="69" spans="1:10" ht="13.5" x14ac:dyDescent="0.2">
      <c r="A69" s="412">
        <v>0.5</v>
      </c>
      <c r="B69" s="413" cm="1">
        <f t="array" ref="B69">SUM(Deslocamento_leve,TPB*Tabela1[[#This Row],[% TPB]])</f>
        <v>921</v>
      </c>
      <c r="C69" s="413">
        <v>1.77</v>
      </c>
      <c r="D69" s="425">
        <v>16</v>
      </c>
      <c r="E69" s="417">
        <v>549.17837928920403</v>
      </c>
      <c r="F69" s="413">
        <f>PRODUCT(Tabela1[[#This Row],[Resitência ao avanço (kN)]],1.15,Tabela1[[#This Row],[Velocidade (nós)]],0.514)</f>
        <v>5193.9094399655751</v>
      </c>
      <c r="G69" s="421">
        <f>Tabela1[[#This Row],[EHP]]/0.55</f>
        <v>9443.4717090283175</v>
      </c>
      <c r="H69" s="413">
        <f>PRODUCT(Tabela1[[#This Row],[BHP]],1.2)</f>
        <v>11332.166050833981</v>
      </c>
      <c r="I69" s="413">
        <v>4</v>
      </c>
      <c r="J69" s="413">
        <f>ROUNDDOWN(PRODUCT(Tabela1[[#This Row],[Viagens Redondas (30 dias)]],365/30),2)</f>
        <v>48.66</v>
      </c>
    </row>
    <row r="70" spans="1:10" ht="13.5" x14ac:dyDescent="0.2">
      <c r="A70" s="414">
        <v>0.25</v>
      </c>
      <c r="B70" s="415" cm="1">
        <f t="array" ref="B70">SUM(Deslocamento_leve,TPB*Tabela1[[#This Row],[% TPB]])</f>
        <v>844.5</v>
      </c>
      <c r="C70" s="415">
        <v>1.65</v>
      </c>
      <c r="D70" s="426">
        <v>5.5</v>
      </c>
      <c r="E70" s="418">
        <v>9.6909996621311905</v>
      </c>
      <c r="F70" s="415">
        <f>PRODUCT(Tabela1[[#This Row],[Resitência ao avanço (kN)]],1.15,Tabela1[[#This Row],[Velocidade (nós)]],0.514)</f>
        <v>31.505924451571605</v>
      </c>
      <c r="G70" s="422">
        <f>Tabela1[[#This Row],[EHP]]/0.55</f>
        <v>57.283499002857461</v>
      </c>
      <c r="H70" s="415">
        <f>PRODUCT(Tabela1[[#This Row],[BHP]],1.2)</f>
        <v>68.740198803428953</v>
      </c>
      <c r="I70" s="415">
        <v>2</v>
      </c>
      <c r="J70" s="415">
        <f>ROUNDDOWN(PRODUCT(Tabela1[[#This Row],[Viagens Redondas (30 dias)]],365/30),2)</f>
        <v>24.33</v>
      </c>
    </row>
    <row r="71" spans="1:10" ht="13.5" x14ac:dyDescent="0.2">
      <c r="A71" s="414">
        <v>0.25</v>
      </c>
      <c r="B71" s="415" cm="1">
        <f t="array" ref="B71">SUM(Deslocamento_leve,TPB*Tabela1[[#This Row],[% TPB]])</f>
        <v>844.5</v>
      </c>
      <c r="C71" s="415">
        <v>1.65</v>
      </c>
      <c r="D71" s="426">
        <v>6</v>
      </c>
      <c r="E71" s="418">
        <v>11.5364240209865</v>
      </c>
      <c r="F71" s="415">
        <f>PRODUCT(Tabela1[[#This Row],[Resitência ao avanço (kN)]],1.15,Tabela1[[#This Row],[Velocidade (nós)]],0.514)</f>
        <v>40.915081432830718</v>
      </c>
      <c r="G71" s="422">
        <f>Tabela1[[#This Row],[EHP]]/0.55</f>
        <v>74.391057150601299</v>
      </c>
      <c r="H71" s="415">
        <f>PRODUCT(Tabela1[[#This Row],[BHP]],1.2)</f>
        <v>89.269268580721558</v>
      </c>
      <c r="I71" s="415">
        <v>2.16</v>
      </c>
      <c r="J71" s="415">
        <f>ROUNDDOWN(PRODUCT(Tabela1[[#This Row],[Viagens Redondas (30 dias)]],365/30),2)</f>
        <v>26.28</v>
      </c>
    </row>
    <row r="72" spans="1:10" ht="13.5" x14ac:dyDescent="0.2">
      <c r="A72" s="414">
        <v>0.25</v>
      </c>
      <c r="B72" s="415" cm="1">
        <f t="array" ref="B72">SUM(Deslocamento_leve,TPB*Tabela1[[#This Row],[% TPB]])</f>
        <v>844.5</v>
      </c>
      <c r="C72" s="415">
        <v>1.65</v>
      </c>
      <c r="D72" s="426">
        <v>6.5</v>
      </c>
      <c r="E72" s="418">
        <v>13.6966407046444</v>
      </c>
      <c r="F72" s="415">
        <f>PRODUCT(Tabela1[[#This Row],[Resitência ao avanço (kN)]],1.15,Tabela1[[#This Row],[Velocidade (nós)]],0.514)</f>
        <v>52.624548083349474</v>
      </c>
      <c r="G72" s="422">
        <f>Tabela1[[#This Row],[EHP]]/0.55</f>
        <v>95.680996515180851</v>
      </c>
      <c r="H72" s="415">
        <f>PRODUCT(Tabela1[[#This Row],[BHP]],1.2)</f>
        <v>114.81719581821702</v>
      </c>
      <c r="I72" s="415">
        <v>2.2999999999999998</v>
      </c>
      <c r="J72" s="415">
        <f>ROUNDDOWN(PRODUCT(Tabela1[[#This Row],[Viagens Redondas (30 dias)]],365/30),2)</f>
        <v>27.98</v>
      </c>
    </row>
    <row r="73" spans="1:10" ht="13.5" x14ac:dyDescent="0.2">
      <c r="A73" s="414">
        <v>0.25</v>
      </c>
      <c r="B73" s="415" cm="1">
        <f t="array" ref="B73">SUM(Deslocamento_leve,TPB*Tabela1[[#This Row],[% TPB]])</f>
        <v>844.5</v>
      </c>
      <c r="C73" s="415">
        <v>1.65</v>
      </c>
      <c r="D73" s="426">
        <v>7</v>
      </c>
      <c r="E73" s="418">
        <v>16.301463001692099</v>
      </c>
      <c r="F73" s="415">
        <f>PRODUCT(Tabela1[[#This Row],[Resitência ao avanço (kN)]],1.15,Tabela1[[#This Row],[Velocidade (nós)]],0.514)</f>
        <v>67.4505634621014</v>
      </c>
      <c r="G73" s="422">
        <f>Tabela1[[#This Row],[EHP]]/0.55</f>
        <v>122.63738811291162</v>
      </c>
      <c r="H73" s="415">
        <f>PRODUCT(Tabela1[[#This Row],[BHP]],1.2)</f>
        <v>147.16486573549395</v>
      </c>
      <c r="I73" s="415">
        <v>2.44</v>
      </c>
      <c r="J73" s="415">
        <f>ROUNDDOWN(PRODUCT(Tabela1[[#This Row],[Viagens Redondas (30 dias)]],365/30),2)</f>
        <v>29.68</v>
      </c>
    </row>
    <row r="74" spans="1:10" ht="13.5" x14ac:dyDescent="0.2">
      <c r="A74" s="414">
        <v>0.25</v>
      </c>
      <c r="B74" s="415" cm="1">
        <f t="array" ref="B74">SUM(Deslocamento_leve,TPB*Tabela1[[#This Row],[% TPB]])</f>
        <v>844.5</v>
      </c>
      <c r="C74" s="415">
        <v>1.65</v>
      </c>
      <c r="D74" s="426">
        <v>7.5</v>
      </c>
      <c r="E74" s="418">
        <v>19.522204162197301</v>
      </c>
      <c r="F74" s="415">
        <f>PRODUCT(Tabela1[[#This Row],[Resitência ao avanço (kN)]],1.15,Tabela1[[#This Row],[Velocidade (nós)]],0.514)</f>
        <v>86.546811602061183</v>
      </c>
      <c r="G74" s="422">
        <f>Tabela1[[#This Row],[EHP]]/0.55</f>
        <v>157.35783927647486</v>
      </c>
      <c r="H74" s="415">
        <f>PRODUCT(Tabela1[[#This Row],[BHP]],1.2)</f>
        <v>188.82940713176984</v>
      </c>
      <c r="I74" s="415">
        <v>2.57</v>
      </c>
      <c r="J74" s="415">
        <f>ROUNDDOWN(PRODUCT(Tabela1[[#This Row],[Viagens Redondas (30 dias)]],365/30),2)</f>
        <v>31.26</v>
      </c>
    </row>
    <row r="75" spans="1:10" ht="13.5" x14ac:dyDescent="0.2">
      <c r="A75" s="414">
        <v>0.25</v>
      </c>
      <c r="B75" s="415" cm="1">
        <f t="array" ref="B75">SUM(Deslocamento_leve,TPB*Tabela1[[#This Row],[% TPB]])</f>
        <v>844.5</v>
      </c>
      <c r="C75" s="415">
        <v>1.65</v>
      </c>
      <c r="D75" s="426">
        <v>8</v>
      </c>
      <c r="E75" s="418">
        <v>23.568702585177899</v>
      </c>
      <c r="F75" s="415">
        <f>PRODUCT(Tabela1[[#This Row],[Resitência ao avanço (kN)]],1.15,Tabela1[[#This Row],[Velocidade (nós)]],0.514)</f>
        <v>111.45168078478923</v>
      </c>
      <c r="G75" s="422">
        <f>Tabela1[[#This Row],[EHP]]/0.55</f>
        <v>202.63941960870767</v>
      </c>
      <c r="H75" s="415">
        <f>PRODUCT(Tabela1[[#This Row],[BHP]],1.2)</f>
        <v>243.1673035304492</v>
      </c>
      <c r="I75" s="415">
        <v>2.69</v>
      </c>
      <c r="J75" s="415">
        <f>ROUNDDOWN(PRODUCT(Tabela1[[#This Row],[Viagens Redondas (30 dias)]],365/30),2)</f>
        <v>32.72</v>
      </c>
    </row>
    <row r="76" spans="1:10" ht="13.5" x14ac:dyDescent="0.2">
      <c r="A76" s="414">
        <v>0.25</v>
      </c>
      <c r="B76" s="415" cm="1">
        <f t="array" ref="B76">SUM(Deslocamento_leve,TPB*Tabela1[[#This Row],[% TPB]])</f>
        <v>844.5</v>
      </c>
      <c r="C76" s="415">
        <v>1.65</v>
      </c>
      <c r="D76" s="426">
        <v>8.5</v>
      </c>
      <c r="E76" s="418">
        <v>28.682676749671799</v>
      </c>
      <c r="F76" s="415">
        <f>PRODUCT(Tabela1[[#This Row],[Resitência ao avanço (kN)]],1.15,Tabela1[[#This Row],[Velocidade (nós)]],0.514)</f>
        <v>144.11180692721348</v>
      </c>
      <c r="G76" s="422">
        <f>Tabela1[[#This Row],[EHP]]/0.55</f>
        <v>262.0214671403881</v>
      </c>
      <c r="H76" s="415">
        <f>PRODUCT(Tabela1[[#This Row],[BHP]],1.2)</f>
        <v>314.42576056846571</v>
      </c>
      <c r="I76" s="415">
        <v>2.81</v>
      </c>
      <c r="J76" s="415">
        <f>ROUNDDOWN(PRODUCT(Tabela1[[#This Row],[Viagens Redondas (30 dias)]],365/30),2)</f>
        <v>34.18</v>
      </c>
    </row>
    <row r="77" spans="1:10" ht="13.5" x14ac:dyDescent="0.2">
      <c r="A77" s="414">
        <v>0.25</v>
      </c>
      <c r="B77" s="415" cm="1">
        <f t="array" ref="B77">SUM(Deslocamento_leve,TPB*Tabela1[[#This Row],[% TPB]])</f>
        <v>844.5</v>
      </c>
      <c r="C77" s="415">
        <v>1.65</v>
      </c>
      <c r="D77" s="426">
        <v>9</v>
      </c>
      <c r="E77" s="418">
        <v>35.232121901905302</v>
      </c>
      <c r="F77" s="415">
        <f>PRODUCT(Tabela1[[#This Row],[Resitência ao avanço (kN)]],1.15,Tabela1[[#This Row],[Velocidade (nós)]],0.514)</f>
        <v>187.431365305946</v>
      </c>
      <c r="G77" s="422">
        <f>Tabela1[[#This Row],[EHP]]/0.55</f>
        <v>340.78430055626541</v>
      </c>
      <c r="H77" s="415">
        <f>PRODUCT(Tabela1[[#This Row],[BHP]],1.2)</f>
        <v>408.94116066751849</v>
      </c>
      <c r="I77" s="415">
        <v>2.92</v>
      </c>
      <c r="J77" s="415">
        <f>ROUNDDOWN(PRODUCT(Tabela1[[#This Row],[Viagens Redondas (30 dias)]],365/30),2)</f>
        <v>35.520000000000003</v>
      </c>
    </row>
    <row r="78" spans="1:10" ht="13.5" x14ac:dyDescent="0.2">
      <c r="A78" s="414">
        <v>0.25</v>
      </c>
      <c r="B78" s="415" cm="1">
        <f t="array" ref="B78">SUM(Deslocamento_leve,TPB*Tabela1[[#This Row],[% TPB]])</f>
        <v>844.5</v>
      </c>
      <c r="C78" s="415">
        <v>1.65</v>
      </c>
      <c r="D78" s="426">
        <v>9.5</v>
      </c>
      <c r="E78" s="418">
        <v>43.419596576277499</v>
      </c>
      <c r="F78" s="415">
        <f>PRODUCT(Tabela1[[#This Row],[Resitência ao avanço (kN)]],1.15,Tabela1[[#This Row],[Velocidade (nós)]],0.514)</f>
        <v>243.8205735942575</v>
      </c>
      <c r="G78" s="422">
        <f>Tabela1[[#This Row],[EHP]]/0.55</f>
        <v>443.31013380774084</v>
      </c>
      <c r="H78" s="415">
        <f>PRODUCT(Tabela1[[#This Row],[BHP]],1.2)</f>
        <v>531.97216056928903</v>
      </c>
      <c r="I78" s="415">
        <v>3.02</v>
      </c>
      <c r="J78" s="415">
        <f>ROUNDDOWN(PRODUCT(Tabela1[[#This Row],[Viagens Redondas (30 dias)]],365/30),2)</f>
        <v>36.74</v>
      </c>
    </row>
    <row r="79" spans="1:10" ht="13.5" x14ac:dyDescent="0.2">
      <c r="A79" s="414">
        <v>0.25</v>
      </c>
      <c r="B79" s="415" cm="1">
        <f t="array" ref="B79">SUM(Deslocamento_leve,TPB*Tabela1[[#This Row],[% TPB]])</f>
        <v>844.5</v>
      </c>
      <c r="C79" s="415">
        <v>1.65</v>
      </c>
      <c r="D79" s="426">
        <v>10</v>
      </c>
      <c r="E79" s="418">
        <v>53.624923466363398</v>
      </c>
      <c r="F79" s="415">
        <f>PRODUCT(Tabela1[[#This Row],[Resitência ao avanço (kN)]],1.15,Tabela1[[#This Row],[Velocidade (nós)]],0.514)</f>
        <v>316.97692260967398</v>
      </c>
      <c r="G79" s="422">
        <f>Tabela1[[#This Row],[EHP]]/0.55</f>
        <v>576.32167747213441</v>
      </c>
      <c r="H79" s="415">
        <f>PRODUCT(Tabela1[[#This Row],[BHP]],1.2)</f>
        <v>691.58601296656127</v>
      </c>
      <c r="I79" s="415">
        <v>3.12</v>
      </c>
      <c r="J79" s="415">
        <f>ROUNDDOWN(PRODUCT(Tabela1[[#This Row],[Viagens Redondas (30 dias)]],365/30),2)</f>
        <v>37.96</v>
      </c>
    </row>
    <row r="80" spans="1:10" ht="13.5" x14ac:dyDescent="0.2">
      <c r="A80" s="414">
        <v>0.25</v>
      </c>
      <c r="B80" s="415" cm="1">
        <f t="array" ref="B80">SUM(Deslocamento_leve,TPB*Tabela1[[#This Row],[% TPB]])</f>
        <v>844.5</v>
      </c>
      <c r="C80" s="415">
        <v>1.65</v>
      </c>
      <c r="D80" s="426">
        <v>10.5</v>
      </c>
      <c r="E80" s="418">
        <v>65.930091432257896</v>
      </c>
      <c r="F80" s="415">
        <f>PRODUCT(Tabela1[[#This Row],[Resitência ao avanço (kN)]],1.15,Tabela1[[#This Row],[Velocidade (nós)]],0.514)</f>
        <v>409.19840897888025</v>
      </c>
      <c r="G80" s="422">
        <f>Tabela1[[#This Row],[EHP]]/0.55</f>
        <v>743.9971072343277</v>
      </c>
      <c r="H80" s="415">
        <f>PRODUCT(Tabela1[[#This Row],[BHP]],1.2)</f>
        <v>892.79652868119319</v>
      </c>
      <c r="I80" s="415">
        <v>3.21</v>
      </c>
      <c r="J80" s="415">
        <f>ROUNDDOWN(PRODUCT(Tabela1[[#This Row],[Viagens Redondas (30 dias)]],365/30),2)</f>
        <v>39.049999999999997</v>
      </c>
    </row>
    <row r="81" spans="1:10" ht="13.5" x14ac:dyDescent="0.2">
      <c r="A81" s="414">
        <v>0.25</v>
      </c>
      <c r="B81" s="415" cm="1">
        <f t="array" ref="B81">SUM(Deslocamento_leve,TPB*Tabela1[[#This Row],[% TPB]])</f>
        <v>844.5</v>
      </c>
      <c r="C81" s="415">
        <v>1.65</v>
      </c>
      <c r="D81" s="426">
        <v>11</v>
      </c>
      <c r="E81" s="418">
        <v>80.259356196045104</v>
      </c>
      <c r="F81" s="415">
        <f>PRODUCT(Tabela1[[#This Row],[Resitência ao avanço (kN)]],1.15,Tabela1[[#This Row],[Velocidade (nós)]],0.514)</f>
        <v>521.85435992230487</v>
      </c>
      <c r="G81" s="422">
        <f>Tabela1[[#This Row],[EHP]]/0.55</f>
        <v>948.82610894964512</v>
      </c>
      <c r="H81" s="415">
        <f>PRODUCT(Tabela1[[#This Row],[BHP]],1.2)</f>
        <v>1138.591330739574</v>
      </c>
      <c r="I81" s="415">
        <v>3.3</v>
      </c>
      <c r="J81" s="415">
        <f>ROUNDDOWN(PRODUCT(Tabela1[[#This Row],[Viagens Redondas (30 dias)]],365/30),2)</f>
        <v>40.15</v>
      </c>
    </row>
    <row r="82" spans="1:10" ht="13.5" x14ac:dyDescent="0.2">
      <c r="A82" s="414">
        <v>0.25</v>
      </c>
      <c r="B82" s="415" cm="1">
        <f t="array" ref="B82">SUM(Deslocamento_leve,TPB*Tabela1[[#This Row],[% TPB]])</f>
        <v>844.5</v>
      </c>
      <c r="C82" s="415">
        <v>1.65</v>
      </c>
      <c r="D82" s="426">
        <v>11.5</v>
      </c>
      <c r="E82" s="418">
        <v>98.650964772201803</v>
      </c>
      <c r="F82" s="415">
        <f>PRODUCT(Tabela1[[#This Row],[Resitência ao avanço (kN)]],1.15,Tabela1[[#This Row],[Velocidade (nós)]],0.514)</f>
        <v>670.59473068375758</v>
      </c>
      <c r="G82" s="422">
        <f>Tabela1[[#This Row],[EHP]]/0.55</f>
        <v>1219.2631466977409</v>
      </c>
      <c r="H82" s="415">
        <f>PRODUCT(Tabela1[[#This Row],[BHP]],1.2)</f>
        <v>1463.1157760372892</v>
      </c>
      <c r="I82" s="415">
        <v>3.39</v>
      </c>
      <c r="J82" s="415">
        <f>ROUNDDOWN(PRODUCT(Tabela1[[#This Row],[Viagens Redondas (30 dias)]],365/30),2)</f>
        <v>41.24</v>
      </c>
    </row>
    <row r="83" spans="1:10" ht="13.5" x14ac:dyDescent="0.2">
      <c r="A83" s="414">
        <v>0.25</v>
      </c>
      <c r="B83" s="415" cm="1">
        <f t="array" ref="B83">SUM(Deslocamento_leve,TPB*Tabela1[[#This Row],[% TPB]])</f>
        <v>844.5</v>
      </c>
      <c r="C83" s="415">
        <v>1.65</v>
      </c>
      <c r="D83" s="426">
        <v>12</v>
      </c>
      <c r="E83" s="418">
        <v>121.465001571877</v>
      </c>
      <c r="F83" s="415">
        <f>PRODUCT(Tabela1[[#This Row],[Resitência ao avanço (kN)]],1.15,Tabela1[[#This Row],[Velocidade (nós)]],0.514)</f>
        <v>861.57554914963782</v>
      </c>
      <c r="G83" s="422">
        <f>Tabela1[[#This Row],[EHP]]/0.55</f>
        <v>1566.5009984538867</v>
      </c>
      <c r="H83" s="415">
        <f>PRODUCT(Tabela1[[#This Row],[BHP]],1.2)</f>
        <v>1879.8011981446639</v>
      </c>
      <c r="I83" s="415">
        <v>3.47</v>
      </c>
      <c r="J83" s="415">
        <f>ROUNDDOWN(PRODUCT(Tabela1[[#This Row],[Viagens Redondas (30 dias)]],365/30),2)</f>
        <v>42.21</v>
      </c>
    </row>
    <row r="84" spans="1:10" ht="13.5" x14ac:dyDescent="0.2">
      <c r="A84" s="414">
        <v>0.25</v>
      </c>
      <c r="B84" s="415" cm="1">
        <f t="array" ref="B84">SUM(Deslocamento_leve,TPB*Tabela1[[#This Row],[% TPB]])</f>
        <v>844.5</v>
      </c>
      <c r="C84" s="415">
        <v>1.65</v>
      </c>
      <c r="D84" s="426">
        <v>12.5</v>
      </c>
      <c r="E84" s="418">
        <v>144.07998516325401</v>
      </c>
      <c r="F84" s="415">
        <f>PRODUCT(Tabela1[[#This Row],[Resitência ao avanço (kN)]],1.15,Tabela1[[#This Row],[Velocidade (nós)]],0.514)</f>
        <v>1064.570990374993</v>
      </c>
      <c r="G84" s="422">
        <f>Tabela1[[#This Row],[EHP]]/0.55</f>
        <v>1935.5836188636235</v>
      </c>
      <c r="H84" s="415">
        <f>PRODUCT(Tabela1[[#This Row],[BHP]],1.2)</f>
        <v>2322.7003426363481</v>
      </c>
      <c r="I84" s="415">
        <v>3.55</v>
      </c>
      <c r="J84" s="415">
        <f>ROUNDDOWN(PRODUCT(Tabela1[[#This Row],[Viagens Redondas (30 dias)]],365/30),2)</f>
        <v>43.19</v>
      </c>
    </row>
    <row r="85" spans="1:10" ht="13.5" x14ac:dyDescent="0.2">
      <c r="A85" s="414">
        <v>0.25</v>
      </c>
      <c r="B85" s="415" cm="1">
        <f t="array" ref="B85">SUM(Deslocamento_leve,TPB*Tabela1[[#This Row],[% TPB]])</f>
        <v>844.5</v>
      </c>
      <c r="C85" s="415">
        <v>1.65</v>
      </c>
      <c r="D85" s="426">
        <v>13</v>
      </c>
      <c r="E85" s="418">
        <v>164.454749366626</v>
      </c>
      <c r="F85" s="415">
        <f>PRODUCT(Tabela1[[#This Row],[Resitência ao avanço (kN)]],1.15,Tabela1[[#This Row],[Velocidade (nós)]],0.514)</f>
        <v>1263.7196305579641</v>
      </c>
      <c r="G85" s="422">
        <f>Tabela1[[#This Row],[EHP]]/0.55</f>
        <v>2297.6720555599345</v>
      </c>
      <c r="H85" s="415">
        <f>PRODUCT(Tabela1[[#This Row],[BHP]],1.2)</f>
        <v>2757.2064666719211</v>
      </c>
      <c r="I85" s="415">
        <v>3.62</v>
      </c>
      <c r="J85" s="415">
        <f>ROUNDDOWN(PRODUCT(Tabela1[[#This Row],[Viagens Redondas (30 dias)]],365/30),2)</f>
        <v>44.04</v>
      </c>
    </row>
    <row r="86" spans="1:10" ht="13.5" x14ac:dyDescent="0.2">
      <c r="A86" s="414">
        <v>0.25</v>
      </c>
      <c r="B86" s="415" cm="1">
        <f t="array" ref="B86">SUM(Deslocamento_leve,TPB*Tabela1[[#This Row],[% TPB]])</f>
        <v>844.5</v>
      </c>
      <c r="C86" s="415">
        <v>1.65</v>
      </c>
      <c r="D86" s="426">
        <v>13.5</v>
      </c>
      <c r="E86" s="418">
        <v>188.80523976341101</v>
      </c>
      <c r="F86" s="415">
        <f>PRODUCT(Tabela1[[#This Row],[Resitência ao avanço (kN)]],1.15,Tabela1[[#This Row],[Velocidade (nós)]],0.514)</f>
        <v>1506.6374925260552</v>
      </c>
      <c r="G86" s="422">
        <f>Tabela1[[#This Row],[EHP]]/0.55</f>
        <v>2739.3408955019186</v>
      </c>
      <c r="H86" s="415">
        <f>PRODUCT(Tabela1[[#This Row],[BHP]],1.2)</f>
        <v>3287.2090746023023</v>
      </c>
      <c r="I86" s="415">
        <v>3.7</v>
      </c>
      <c r="J86" s="415">
        <f>ROUNDDOWN(PRODUCT(Tabela1[[#This Row],[Viagens Redondas (30 dias)]],365/30),2)</f>
        <v>45.01</v>
      </c>
    </row>
    <row r="87" spans="1:10" ht="13.5" x14ac:dyDescent="0.2">
      <c r="A87" s="414">
        <v>0.25</v>
      </c>
      <c r="B87" s="415" cm="1">
        <f t="array" ref="B87">SUM(Deslocamento_leve,TPB*Tabela1[[#This Row],[% TPB]])</f>
        <v>844.5</v>
      </c>
      <c r="C87" s="415">
        <v>1.65</v>
      </c>
      <c r="D87" s="426">
        <v>14</v>
      </c>
      <c r="E87" s="418">
        <v>226.05111512497299</v>
      </c>
      <c r="F87" s="415">
        <f>PRODUCT(Tabela1[[#This Row],[Resitência ao avanço (kN)]],1.15,Tabela1[[#This Row],[Velocidade (nós)]],0.514)</f>
        <v>1870.6633981052014</v>
      </c>
      <c r="G87" s="422">
        <f>Tabela1[[#This Row],[EHP]]/0.55</f>
        <v>3401.2061783730933</v>
      </c>
      <c r="H87" s="415">
        <f>PRODUCT(Tabela1[[#This Row],[BHP]],1.2)</f>
        <v>4081.4474140477118</v>
      </c>
      <c r="I87" s="415">
        <v>3.77</v>
      </c>
      <c r="J87" s="415">
        <f>ROUNDDOWN(PRODUCT(Tabela1[[#This Row],[Viagens Redondas (30 dias)]],365/30),2)</f>
        <v>45.86</v>
      </c>
    </row>
    <row r="88" spans="1:10" ht="13.5" x14ac:dyDescent="0.2">
      <c r="A88" s="414">
        <v>0.25</v>
      </c>
      <c r="B88" s="415" cm="1">
        <f t="array" ref="B88">SUM(Deslocamento_leve,TPB*Tabela1[[#This Row],[% TPB]])</f>
        <v>844.5</v>
      </c>
      <c r="C88" s="415">
        <v>1.65</v>
      </c>
      <c r="D88" s="426">
        <v>14.5</v>
      </c>
      <c r="E88" s="418">
        <v>281.14103128185798</v>
      </c>
      <c r="F88" s="415">
        <f>PRODUCT(Tabela1[[#This Row],[Resitência ao avanço (kN)]],1.15,Tabela1[[#This Row],[Velocidade (nós)]],0.514)</f>
        <v>2409.6457220652401</v>
      </c>
      <c r="G88" s="422">
        <f>Tabela1[[#This Row],[EHP]]/0.55</f>
        <v>4381.174040118618</v>
      </c>
      <c r="H88" s="415">
        <f>PRODUCT(Tabela1[[#This Row],[BHP]],1.2)</f>
        <v>5257.4088481423414</v>
      </c>
      <c r="I88" s="415">
        <v>3.83</v>
      </c>
      <c r="J88" s="415">
        <f>ROUNDDOWN(PRODUCT(Tabela1[[#This Row],[Viagens Redondas (30 dias)]],365/30),2)</f>
        <v>46.59</v>
      </c>
    </row>
    <row r="89" spans="1:10" ht="13.5" x14ac:dyDescent="0.2">
      <c r="A89" s="414">
        <v>0.25</v>
      </c>
      <c r="B89" s="415" cm="1">
        <f t="array" ref="B89">SUM(Deslocamento_leve,TPB*Tabela1[[#This Row],[% TPB]])</f>
        <v>844.5</v>
      </c>
      <c r="C89" s="415">
        <v>1.65</v>
      </c>
      <c r="D89" s="426">
        <v>15</v>
      </c>
      <c r="E89" s="418">
        <v>350.36372938412001</v>
      </c>
      <c r="F89" s="415">
        <f>PRODUCT(Tabela1[[#This Row],[Resitência ao avanço (kN)]],1.15,Tabela1[[#This Row],[Velocidade (nós)]],0.514)</f>
        <v>3106.5000065842996</v>
      </c>
      <c r="G89" s="422">
        <f>Tabela1[[#This Row],[EHP]]/0.55</f>
        <v>5648.1818301532712</v>
      </c>
      <c r="H89" s="415">
        <f>PRODUCT(Tabela1[[#This Row],[BHP]],1.2)</f>
        <v>6777.8181961839255</v>
      </c>
      <c r="I89" s="415">
        <v>3.9</v>
      </c>
      <c r="J89" s="415">
        <f>ROUNDDOWN(PRODUCT(Tabela1[[#This Row],[Viagens Redondas (30 dias)]],365/30),2)</f>
        <v>47.45</v>
      </c>
    </row>
    <row r="90" spans="1:10" ht="13.5" x14ac:dyDescent="0.2">
      <c r="A90" s="414">
        <v>0.25</v>
      </c>
      <c r="B90" s="415" cm="1">
        <f t="array" ref="B90">SUM(Deslocamento_leve,TPB*Tabela1[[#This Row],[% TPB]])</f>
        <v>844.5</v>
      </c>
      <c r="C90" s="415">
        <v>1.65</v>
      </c>
      <c r="D90" s="426">
        <v>15.5</v>
      </c>
      <c r="E90" s="418">
        <v>420.05922337542398</v>
      </c>
      <c r="F90" s="415">
        <f>PRODUCT(Tabela1[[#This Row],[Resitência ao avanço (kN)]],1.15,Tabela1[[#This Row],[Velocidade (nós)]],0.514)</f>
        <v>3848.603607526803</v>
      </c>
      <c r="G90" s="422">
        <f>Tabela1[[#This Row],[EHP]]/0.55</f>
        <v>6997.4611045941865</v>
      </c>
      <c r="H90" s="415">
        <f>PRODUCT(Tabela1[[#This Row],[BHP]],1.2)</f>
        <v>8396.9533255130227</v>
      </c>
      <c r="I90" s="415">
        <v>3.96</v>
      </c>
      <c r="J90" s="415">
        <f>ROUNDDOWN(PRODUCT(Tabela1[[#This Row],[Viagens Redondas (30 dias)]],365/30),2)</f>
        <v>48.18</v>
      </c>
    </row>
    <row r="91" spans="1:10" ht="13.5" x14ac:dyDescent="0.2">
      <c r="A91" s="414">
        <v>0.25</v>
      </c>
      <c r="B91" s="415" cm="1">
        <f t="array" ref="B91">SUM(Deslocamento_leve,TPB*Tabela1[[#This Row],[% TPB]])</f>
        <v>844.5</v>
      </c>
      <c r="C91" s="415">
        <v>1.65</v>
      </c>
      <c r="D91" s="426">
        <v>16</v>
      </c>
      <c r="E91" s="418">
        <v>474.00249588302302</v>
      </c>
      <c r="F91" s="415">
        <f>PRODUCT(Tabela1[[#This Row],[Resitência ao avanço (kN)]],1.15,Tabela1[[#This Row],[Velocidade (nós)]],0.514)</f>
        <v>4482.9260050632784</v>
      </c>
      <c r="G91" s="422">
        <f>Tabela1[[#This Row],[EHP]]/0.55</f>
        <v>8150.7745546605056</v>
      </c>
      <c r="H91" s="415">
        <f>PRODUCT(Tabela1[[#This Row],[BHP]],1.2)</f>
        <v>9780.929465592606</v>
      </c>
      <c r="I91" s="415">
        <v>4</v>
      </c>
      <c r="J91" s="415">
        <f>ROUNDDOWN(PRODUCT(Tabela1[[#This Row],[Viagens Redondas (30 dias)]],365/30),2)</f>
        <v>48.66</v>
      </c>
    </row>
  </sheetData>
  <mergeCells count="1">
    <mergeCell ref="C1:J2"/>
  </mergeCells>
  <phoneticPr fontId="3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I159"/>
  <sheetViews>
    <sheetView zoomScale="75" workbookViewId="0">
      <selection activeCell="G3" sqref="G3"/>
    </sheetView>
  </sheetViews>
  <sheetFormatPr defaultColWidth="11.42578125" defaultRowHeight="12.75" x14ac:dyDescent="0.2"/>
  <cols>
    <col min="1" max="1" width="17" style="1" customWidth="1"/>
    <col min="2" max="2" width="17.140625" style="1" customWidth="1"/>
    <col min="3" max="6" width="11.42578125" style="1"/>
    <col min="7" max="7" width="17" style="1" customWidth="1"/>
    <col min="8" max="8" width="15.42578125" style="1" customWidth="1"/>
    <col min="9" max="16384" width="11.42578125" style="1"/>
  </cols>
  <sheetData>
    <row r="1" spans="1:9" x14ac:dyDescent="0.2">
      <c r="A1" s="287" t="s">
        <v>185</v>
      </c>
    </row>
    <row r="2" spans="1:9" x14ac:dyDescent="0.2">
      <c r="A2" s="287"/>
    </row>
    <row r="3" spans="1:9" x14ac:dyDescent="0.2">
      <c r="A3" s="288" t="s">
        <v>186</v>
      </c>
    </row>
    <row r="4" spans="1:9" x14ac:dyDescent="0.2">
      <c r="A4" s="1" t="s">
        <v>187</v>
      </c>
      <c r="B4" s="228">
        <f>Holtrop!H10</f>
        <v>100</v>
      </c>
      <c r="C4" s="1" t="s">
        <v>188</v>
      </c>
      <c r="D4" s="229">
        <f>Holtrop!B88</f>
        <v>2.9596873870254017</v>
      </c>
      <c r="E4" s="1" t="s">
        <v>189</v>
      </c>
      <c r="F4" s="1" t="s">
        <v>190</v>
      </c>
      <c r="G4" t="s">
        <v>191</v>
      </c>
      <c r="H4" s="208">
        <f>(0.0185-0.00125*D6)*D7/B7</f>
        <v>6.5123010130246003E-2</v>
      </c>
    </row>
    <row r="5" spans="1:9" x14ac:dyDescent="0.2">
      <c r="A5" s="1" t="s">
        <v>192</v>
      </c>
      <c r="B5" s="207">
        <f>60*_vva1/(_rot1*_dia1)</f>
        <v>0.88790621610762044</v>
      </c>
      <c r="C5" s="1" t="s">
        <v>193</v>
      </c>
      <c r="D5" s="231">
        <f>Holtrop!H11</f>
        <v>0.4</v>
      </c>
      <c r="E5" s="206">
        <f>IF(D6=2,0.3,IF(D6=3,0.35,IF(D6=4,0.4,IF(D6=5,0.45,IF(D6=6,0.5,IF(D6=7,0.55,0.6))))))</f>
        <v>0.4</v>
      </c>
      <c r="F5" s="206">
        <f>IF(D6=2,0.38,IF(D6=3,0.8,IF(D6=4,1,IF(D6=5,1.05,IF(D6=6,0.8,IF(D6=7,0.85,0.8))))))</f>
        <v>1</v>
      </c>
      <c r="G5" t="s">
        <v>194</v>
      </c>
      <c r="H5" s="209">
        <f>(2+4*H4)*(0.003605-(1.89+1.62*LOG(B7/0.00003))^(-2.5))</f>
        <v>-2.2802699974825667E-3</v>
      </c>
    </row>
    <row r="6" spans="1:9" x14ac:dyDescent="0.2">
      <c r="A6" s="1" t="s">
        <v>195</v>
      </c>
      <c r="B6" s="227">
        <f>Holtrop!H12</f>
        <v>0.95</v>
      </c>
      <c r="C6" s="1" t="s">
        <v>196</v>
      </c>
      <c r="D6" s="233">
        <f>Holtrop!H8</f>
        <v>4</v>
      </c>
      <c r="G6" t="s">
        <v>197</v>
      </c>
      <c r="H6" s="208">
        <f>H5*0.3*B6*D7*B7*D6/D7^2</f>
        <v>-5.3887796634507514E-4</v>
      </c>
    </row>
    <row r="7" spans="1:9" ht="15.75" x14ac:dyDescent="0.3">
      <c r="A7" s="1" t="s">
        <v>198</v>
      </c>
      <c r="B7" s="207">
        <f>2.073*fasf*_dia1/zzz</f>
        <v>0.41460000000000002</v>
      </c>
      <c r="C7" s="1" t="s">
        <v>199</v>
      </c>
      <c r="D7" s="228">
        <f>Holtrop!H7</f>
        <v>2</v>
      </c>
      <c r="E7" s="1" t="s">
        <v>200</v>
      </c>
      <c r="F7" s="232">
        <f>jjj*kts/(2*PI()*kqs)</f>
        <v>0.66282618580942743</v>
      </c>
      <c r="G7" t="s">
        <v>201</v>
      </c>
      <c r="H7" s="208">
        <f>-H5*0.25*B7*D6/D7</f>
        <v>4.7269997047813609E-4</v>
      </c>
    </row>
    <row r="8" spans="1:9" ht="15.75" x14ac:dyDescent="0.3">
      <c r="A8" s="1" t="s">
        <v>202</v>
      </c>
      <c r="B8" s="226">
        <f>_ccc075*SQRT(_vva1^2+(0.75*PI()*_rot1/60*_dia1)^2)/mii</f>
        <v>3933305.4115158739</v>
      </c>
      <c r="C8" s="1" t="s">
        <v>203</v>
      </c>
      <c r="D8" s="208">
        <f>IF(_rn075&gt;2000000,H136,0)</f>
        <v>4.1662447908474338E-4</v>
      </c>
      <c r="E8" s="1" t="s">
        <v>204</v>
      </c>
      <c r="F8" s="241">
        <f>kts*(_rot1/60)^2*_dia1^4*Holtrop!G36/1000</f>
        <v>3.5419044002848059</v>
      </c>
      <c r="G8" s="1" t="s">
        <v>205</v>
      </c>
      <c r="H8" s="209">
        <f>G69+D8+H6</f>
        <v>7.969284900640812E-2</v>
      </c>
    </row>
    <row r="9" spans="1:9" x14ac:dyDescent="0.2">
      <c r="A9" s="214" t="s">
        <v>206</v>
      </c>
      <c r="B9" s="291">
        <f>Holtrop!H9</f>
        <v>3.75</v>
      </c>
      <c r="C9" s="1" t="s">
        <v>207</v>
      </c>
      <c r="D9" s="208">
        <f>IF(_rn075&gt;2000000,H152,0)</f>
        <v>-2.1679123514622956E-4</v>
      </c>
      <c r="E9" s="1" t="s">
        <v>208</v>
      </c>
      <c r="F9" s="241">
        <f>kqs*(_rot1/60)^2*_dia1^5*Holtrop!G36/1000</f>
        <v>1.5102693238953502</v>
      </c>
      <c r="G9" s="1" t="s">
        <v>209</v>
      </c>
      <c r="H9" s="203">
        <f>G124+D9+H7</f>
        <v>1.6990529893822687E-2</v>
      </c>
    </row>
    <row r="10" spans="1:9" x14ac:dyDescent="0.2">
      <c r="E10" s="208"/>
      <c r="H10" s="241"/>
    </row>
    <row r="11" spans="1:9" x14ac:dyDescent="0.2">
      <c r="A11" s="290" t="s">
        <v>210</v>
      </c>
      <c r="C11" s="210" t="s">
        <v>211</v>
      </c>
      <c r="E11" s="208"/>
      <c r="H11" s="241"/>
    </row>
    <row r="12" spans="1:9" x14ac:dyDescent="0.2">
      <c r="A12" s="1" t="s">
        <v>212</v>
      </c>
      <c r="B12" s="257">
        <v>101325</v>
      </c>
      <c r="C12" s="1" t="s">
        <v>213</v>
      </c>
      <c r="D12" s="207">
        <f>(B12-B13+B14)/(0.5*roo*velms^2)</f>
        <v>7.7608178065062994</v>
      </c>
      <c r="E12" s="208"/>
      <c r="H12" s="241"/>
    </row>
    <row r="13" spans="1:9" x14ac:dyDescent="0.2">
      <c r="A13" s="1" t="s">
        <v>214</v>
      </c>
      <c r="B13" s="292">
        <v>2278</v>
      </c>
      <c r="C13" s="214" t="s">
        <v>215</v>
      </c>
      <c r="E13" s="208"/>
      <c r="G13" s="232">
        <f>H8/(B5^2*D12)</f>
        <v>1.3024998206272138E-2</v>
      </c>
      <c r="H13" s="241"/>
    </row>
    <row r="14" spans="1:9" x14ac:dyDescent="0.2">
      <c r="A14" s="1" t="s">
        <v>216</v>
      </c>
      <c r="B14" s="257">
        <f>roo*grav*hprop</f>
        <v>36768.75</v>
      </c>
      <c r="C14" s="214" t="s">
        <v>217</v>
      </c>
      <c r="E14" s="208"/>
      <c r="G14" s="232">
        <f>0.06218+0.1194*D5-0.00249*D6</f>
        <v>9.9980000000000013E-2</v>
      </c>
      <c r="H14" s="241" t="str">
        <f>IF(G14&lt;G13,"ok","nok")</f>
        <v>nok</v>
      </c>
    </row>
    <row r="15" spans="1:9" x14ac:dyDescent="0.2">
      <c r="C15" s="214" t="s">
        <v>218</v>
      </c>
      <c r="E15" s="208"/>
      <c r="G15" s="323" t="e">
        <f>1+46.4301*D5^(-1.746)*(10-D6)^(-2.223)*(G13-G14)^1.2</f>
        <v>#NUM!</v>
      </c>
      <c r="H15" s="299">
        <f>IF((G$13&gt;$G$14),(G15-1)*100,0)</f>
        <v>0</v>
      </c>
      <c r="I15" s="1" t="s">
        <v>219</v>
      </c>
    </row>
    <row r="16" spans="1:9" x14ac:dyDescent="0.2">
      <c r="C16" s="214" t="s">
        <v>220</v>
      </c>
      <c r="E16" s="208"/>
      <c r="G16" s="207" t="e">
        <f>1+15.1845*D5^(-2.2514)*(10-D6)^(-1.4478)*(G13-G14-0.01)^(1.2)</f>
        <v>#NUM!</v>
      </c>
      <c r="H16" s="299">
        <f>IF((G$13&gt;$G$14),(G16-1)*100,0)</f>
        <v>0</v>
      </c>
      <c r="I16" s="1" t="s">
        <v>219</v>
      </c>
    </row>
    <row r="17" spans="1:8" x14ac:dyDescent="0.2">
      <c r="C17" s="214"/>
      <c r="E17" s="208"/>
      <c r="H17" s="241"/>
    </row>
    <row r="18" spans="1:8" x14ac:dyDescent="0.2">
      <c r="C18" s="210" t="s">
        <v>221</v>
      </c>
      <c r="E18" s="208"/>
      <c r="H18" s="241"/>
    </row>
    <row r="19" spans="1:8" ht="15.75" x14ac:dyDescent="0.3">
      <c r="C19" s="1" t="s">
        <v>222</v>
      </c>
      <c r="D19" s="206">
        <f>(vva^2+(2*PI()*(rot/60)*0.7*dprop/2)^2)</f>
        <v>62.494262279292641</v>
      </c>
      <c r="E19" s="208"/>
      <c r="F19" s="1" t="s">
        <v>223</v>
      </c>
      <c r="G19" s="207">
        <f>D5</f>
        <v>0.4</v>
      </c>
      <c r="H19" s="241"/>
    </row>
    <row r="20" spans="1:8" ht="14.25" x14ac:dyDescent="0.2">
      <c r="C20" s="1" t="s">
        <v>224</v>
      </c>
      <c r="D20" s="257">
        <f>0.5*roo*_vr2</f>
        <v>31247.131139646321</v>
      </c>
      <c r="E20" s="208"/>
      <c r="F20" s="1" t="s">
        <v>225</v>
      </c>
      <c r="G20" s="206">
        <f>PI()*dprop^2/4</f>
        <v>3.1415926535897931</v>
      </c>
      <c r="H20" s="241"/>
    </row>
    <row r="21" spans="1:8" ht="14.25" x14ac:dyDescent="0.2">
      <c r="C21" s="293" t="s">
        <v>226</v>
      </c>
      <c r="D21" s="257">
        <f>B12-B13+B14</f>
        <v>135815.75</v>
      </c>
      <c r="E21" s="208"/>
      <c r="F21" s="1" t="s">
        <v>227</v>
      </c>
      <c r="G21" s="297">
        <f>G20*G19</f>
        <v>1.2566370614359172</v>
      </c>
      <c r="H21" s="241"/>
    </row>
    <row r="22" spans="1:8" ht="15.75" x14ac:dyDescent="0.3">
      <c r="C22" s="293" t="s">
        <v>213</v>
      </c>
      <c r="D22" s="207">
        <f>D21/D20</f>
        <v>4.3465030243265161</v>
      </c>
      <c r="E22" s="208"/>
      <c r="F22" s="1" t="s">
        <v>228</v>
      </c>
      <c r="G22" s="298">
        <f>SQRT((F8*1000)^2/(0.5*D23*roo*D19*D20))</f>
        <v>0.17356985092826258</v>
      </c>
      <c r="H22" s="241" t="str">
        <f>IF(G22&lt;G21,"ok","nok")</f>
        <v>ok</v>
      </c>
    </row>
    <row r="23" spans="1:8" x14ac:dyDescent="0.2">
      <c r="C23" s="294">
        <f>Holtrop!F26</f>
        <v>5</v>
      </c>
      <c r="D23" s="208">
        <f>IF(C23=5,Cavitação!B17,IF(C23=10,Cavitação!C17,IF(C23=20,Cavitação!D17,IF(C23=30,Cavitação!E17,0))))</f>
        <v>0.42648600921302726</v>
      </c>
      <c r="E23" s="208"/>
      <c r="H23" s="241"/>
    </row>
    <row r="24" spans="1:8" x14ac:dyDescent="0.2">
      <c r="C24" s="210"/>
      <c r="E24" s="208"/>
      <c r="H24" s="241"/>
    </row>
    <row r="25" spans="1:8" x14ac:dyDescent="0.2">
      <c r="A25" s="290" t="s">
        <v>229</v>
      </c>
      <c r="B25" s="289"/>
      <c r="C25" s="289"/>
    </row>
    <row r="26" spans="1:8" x14ac:dyDescent="0.2">
      <c r="A26" s="210" t="s">
        <v>230</v>
      </c>
    </row>
    <row r="27" spans="1:8" x14ac:dyDescent="0.2">
      <c r="A27" s="1">
        <v>1</v>
      </c>
      <c r="B27" s="211">
        <v>8.8049600000000006E-3</v>
      </c>
      <c r="C27" s="1">
        <v>0</v>
      </c>
      <c r="D27" s="1">
        <v>0</v>
      </c>
      <c r="E27" s="1">
        <v>0</v>
      </c>
      <c r="F27" s="1">
        <v>0</v>
      </c>
      <c r="G27" s="212">
        <f>B27*jjj^C27*psd^D27*fasf^E27*zzz^F27</f>
        <v>8.8049600000000006E-3</v>
      </c>
    </row>
    <row r="28" spans="1:8" x14ac:dyDescent="0.2">
      <c r="A28" s="1">
        <v>2</v>
      </c>
      <c r="B28" s="211">
        <v>-0.20455400000000001</v>
      </c>
      <c r="C28" s="1">
        <v>1</v>
      </c>
      <c r="D28" s="1">
        <v>0</v>
      </c>
      <c r="E28" s="1">
        <v>0</v>
      </c>
      <c r="F28" s="1">
        <v>0</v>
      </c>
      <c r="G28" s="212">
        <f t="shared" ref="G28:G43" si="0">B28*jjj^C28*psd^D28*fasf^E28*zzz^F28</f>
        <v>-0.1816247681296782</v>
      </c>
    </row>
    <row r="29" spans="1:8" x14ac:dyDescent="0.2">
      <c r="A29" s="1">
        <v>3</v>
      </c>
      <c r="B29" s="211">
        <v>0.166351</v>
      </c>
      <c r="C29" s="1">
        <v>0</v>
      </c>
      <c r="D29" s="1">
        <v>1</v>
      </c>
      <c r="E29" s="1">
        <v>0</v>
      </c>
      <c r="F29" s="1">
        <v>0</v>
      </c>
      <c r="G29" s="212">
        <f t="shared" si="0"/>
        <v>0.15803344999999999</v>
      </c>
    </row>
    <row r="30" spans="1:8" x14ac:dyDescent="0.2">
      <c r="A30" s="1">
        <v>4</v>
      </c>
      <c r="B30" s="211">
        <v>0.158114</v>
      </c>
      <c r="C30" s="1">
        <v>0</v>
      </c>
      <c r="D30" s="1">
        <v>2</v>
      </c>
      <c r="E30" s="1">
        <v>0</v>
      </c>
      <c r="F30" s="1">
        <v>0</v>
      </c>
      <c r="G30" s="212">
        <f t="shared" si="0"/>
        <v>0.142697885</v>
      </c>
    </row>
    <row r="31" spans="1:8" x14ac:dyDescent="0.2">
      <c r="A31" s="1">
        <v>5</v>
      </c>
      <c r="B31" s="211">
        <v>-0.14758099999999999</v>
      </c>
      <c r="C31" s="1">
        <v>2</v>
      </c>
      <c r="D31" s="1">
        <v>0</v>
      </c>
      <c r="E31" s="1">
        <v>1</v>
      </c>
      <c r="F31" s="1">
        <v>0</v>
      </c>
      <c r="G31" s="212">
        <f t="shared" si="0"/>
        <v>-4.6539812896885309E-2</v>
      </c>
    </row>
    <row r="32" spans="1:8" x14ac:dyDescent="0.2">
      <c r="A32" s="1">
        <v>6</v>
      </c>
      <c r="B32" s="211">
        <v>-0.48149700000000001</v>
      </c>
      <c r="C32" s="1">
        <v>1</v>
      </c>
      <c r="D32" s="1">
        <v>1</v>
      </c>
      <c r="E32" s="1">
        <v>1</v>
      </c>
      <c r="F32" s="1">
        <v>0</v>
      </c>
      <c r="G32" s="212">
        <f t="shared" si="0"/>
        <v>-0.16245918814812496</v>
      </c>
    </row>
    <row r="33" spans="1:7" x14ac:dyDescent="0.2">
      <c r="A33" s="1">
        <v>7</v>
      </c>
      <c r="B33" s="211">
        <v>0.415437</v>
      </c>
      <c r="C33" s="1">
        <v>0</v>
      </c>
      <c r="D33" s="1">
        <v>2</v>
      </c>
      <c r="E33" s="1">
        <v>1</v>
      </c>
      <c r="F33" s="1">
        <v>0</v>
      </c>
      <c r="G33" s="212">
        <f t="shared" si="0"/>
        <v>0.14997275700000001</v>
      </c>
    </row>
    <row r="34" spans="1:7" x14ac:dyDescent="0.2">
      <c r="A34" s="1">
        <v>8</v>
      </c>
      <c r="B34" s="211">
        <v>1.44043E-2</v>
      </c>
      <c r="C34" s="1">
        <v>0</v>
      </c>
      <c r="D34" s="1">
        <v>0</v>
      </c>
      <c r="E34" s="1">
        <v>0</v>
      </c>
      <c r="F34" s="1">
        <v>1</v>
      </c>
      <c r="G34" s="212">
        <f t="shared" si="0"/>
        <v>5.76172E-2</v>
      </c>
    </row>
    <row r="35" spans="1:7" x14ac:dyDescent="0.2">
      <c r="A35" s="1">
        <v>9</v>
      </c>
      <c r="B35" s="211">
        <v>-5.3005400000000001E-2</v>
      </c>
      <c r="C35" s="1">
        <v>2</v>
      </c>
      <c r="D35" s="1">
        <v>0</v>
      </c>
      <c r="E35" s="1">
        <v>0</v>
      </c>
      <c r="F35" s="1">
        <v>1</v>
      </c>
      <c r="G35" s="212">
        <f t="shared" si="0"/>
        <v>-0.16715304805663092</v>
      </c>
    </row>
    <row r="36" spans="1:7" x14ac:dyDescent="0.2">
      <c r="A36" s="1">
        <v>10</v>
      </c>
      <c r="B36" s="211">
        <v>1.4348100000000001E-2</v>
      </c>
      <c r="C36" s="1">
        <v>0</v>
      </c>
      <c r="D36" s="1">
        <v>1</v>
      </c>
      <c r="E36" s="1">
        <v>0</v>
      </c>
      <c r="F36" s="1">
        <v>1</v>
      </c>
      <c r="G36" s="212">
        <f t="shared" si="0"/>
        <v>5.452278E-2</v>
      </c>
    </row>
    <row r="37" spans="1:7" x14ac:dyDescent="0.2">
      <c r="B37" s="211"/>
      <c r="G37" s="212">
        <f t="shared" si="0"/>
        <v>0</v>
      </c>
    </row>
    <row r="38" spans="1:7" x14ac:dyDescent="0.2">
      <c r="A38" s="1">
        <v>11</v>
      </c>
      <c r="B38" s="211">
        <v>6.0682600000000003E-2</v>
      </c>
      <c r="C38" s="1">
        <v>1</v>
      </c>
      <c r="D38" s="1">
        <v>1</v>
      </c>
      <c r="E38" s="1">
        <v>0</v>
      </c>
      <c r="F38" s="1">
        <v>1</v>
      </c>
      <c r="G38" s="212">
        <f t="shared" si="0"/>
        <v>0.20474573944837471</v>
      </c>
    </row>
    <row r="39" spans="1:7" x14ac:dyDescent="0.2">
      <c r="A39" s="1">
        <v>12</v>
      </c>
      <c r="B39" s="211">
        <v>-1.2589400000000001E-2</v>
      </c>
      <c r="C39" s="1">
        <v>0</v>
      </c>
      <c r="D39" s="1">
        <v>0</v>
      </c>
      <c r="E39" s="1">
        <v>1</v>
      </c>
      <c r="F39" s="1">
        <v>1</v>
      </c>
      <c r="G39" s="212">
        <f t="shared" si="0"/>
        <v>-2.0143040000000001E-2</v>
      </c>
    </row>
    <row r="40" spans="1:7" x14ac:dyDescent="0.2">
      <c r="A40" s="1">
        <v>13</v>
      </c>
      <c r="B40" s="211">
        <v>1.09689E-2</v>
      </c>
      <c r="C40" s="1">
        <v>1</v>
      </c>
      <c r="D40" s="1">
        <v>0</v>
      </c>
      <c r="E40" s="1">
        <v>1</v>
      </c>
      <c r="F40" s="1">
        <v>1</v>
      </c>
      <c r="G40" s="212">
        <f t="shared" si="0"/>
        <v>1.5582967190180605E-2</v>
      </c>
    </row>
    <row r="41" spans="1:7" x14ac:dyDescent="0.2">
      <c r="A41" s="1">
        <v>14</v>
      </c>
      <c r="B41" s="211">
        <v>-0.13369800000000001</v>
      </c>
      <c r="C41" s="1">
        <v>0</v>
      </c>
      <c r="D41" s="1">
        <v>3</v>
      </c>
      <c r="E41" s="1">
        <v>0</v>
      </c>
      <c r="F41" s="1">
        <v>0</v>
      </c>
      <c r="G41" s="212">
        <f t="shared" si="0"/>
        <v>-0.11462932275</v>
      </c>
    </row>
    <row r="42" spans="1:7" x14ac:dyDescent="0.2">
      <c r="A42" s="1">
        <v>15</v>
      </c>
      <c r="B42" s="211">
        <v>6.3840700000000004E-3</v>
      </c>
      <c r="C42" s="1">
        <v>0</v>
      </c>
      <c r="D42" s="1">
        <v>6</v>
      </c>
      <c r="E42" s="1">
        <v>0</v>
      </c>
      <c r="F42" s="1">
        <v>0</v>
      </c>
      <c r="G42" s="212">
        <f t="shared" si="0"/>
        <v>4.6928780861823435E-3</v>
      </c>
    </row>
    <row r="43" spans="1:7" x14ac:dyDescent="0.2">
      <c r="A43" s="1">
        <v>16</v>
      </c>
      <c r="B43" s="211">
        <v>-1.3271800000000001E-3</v>
      </c>
      <c r="C43" s="1">
        <v>2</v>
      </c>
      <c r="D43" s="1">
        <v>6</v>
      </c>
      <c r="E43" s="1">
        <v>0</v>
      </c>
      <c r="F43" s="1">
        <v>0</v>
      </c>
      <c r="G43" s="212">
        <f t="shared" si="0"/>
        <v>-7.6914045183055536E-4</v>
      </c>
    </row>
    <row r="44" spans="1:7" x14ac:dyDescent="0.2">
      <c r="A44" s="1">
        <v>17</v>
      </c>
      <c r="B44" s="211">
        <v>0.16849600000000001</v>
      </c>
      <c r="C44" s="1">
        <v>3</v>
      </c>
      <c r="D44" s="1">
        <v>0</v>
      </c>
      <c r="E44" s="1">
        <v>1</v>
      </c>
      <c r="F44" s="1">
        <v>0</v>
      </c>
      <c r="G44" s="212">
        <f t="shared" ref="G44:G59" si="1">B44*jjj^C44*psd^D44*fasf^E44*zzz^F44</f>
        <v>4.7179232982490944E-2</v>
      </c>
    </row>
    <row r="45" spans="1:7" x14ac:dyDescent="0.2">
      <c r="A45" s="1">
        <v>18</v>
      </c>
      <c r="B45" s="211">
        <v>-5.07214E-2</v>
      </c>
      <c r="C45" s="1">
        <v>0</v>
      </c>
      <c r="D45" s="1">
        <v>0</v>
      </c>
      <c r="E45" s="1">
        <v>2</v>
      </c>
      <c r="F45" s="1">
        <v>0</v>
      </c>
      <c r="G45" s="212">
        <f t="shared" si="1"/>
        <v>-8.1154240000000013E-3</v>
      </c>
    </row>
    <row r="46" spans="1:7" x14ac:dyDescent="0.2">
      <c r="A46" s="1">
        <v>19</v>
      </c>
      <c r="B46" s="211">
        <v>8.5455900000000001E-2</v>
      </c>
      <c r="C46" s="1">
        <v>2</v>
      </c>
      <c r="D46" s="1">
        <v>0</v>
      </c>
      <c r="E46" s="1">
        <v>2</v>
      </c>
      <c r="F46" s="1">
        <v>0</v>
      </c>
      <c r="G46" s="212">
        <f t="shared" si="1"/>
        <v>1.0779440705605579E-2</v>
      </c>
    </row>
    <row r="47" spans="1:7" x14ac:dyDescent="0.2">
      <c r="A47" s="1">
        <v>20</v>
      </c>
      <c r="B47" s="211">
        <v>-5.0447499999999999E-2</v>
      </c>
      <c r="C47" s="1">
        <v>3</v>
      </c>
      <c r="D47" s="1">
        <v>0</v>
      </c>
      <c r="E47" s="1">
        <v>2</v>
      </c>
      <c r="F47" s="1">
        <v>0</v>
      </c>
      <c r="G47" s="212">
        <f t="shared" si="1"/>
        <v>-5.6501622730135139E-3</v>
      </c>
    </row>
    <row r="48" spans="1:7" x14ac:dyDescent="0.2">
      <c r="B48" s="211"/>
      <c r="G48" s="212">
        <f t="shared" si="1"/>
        <v>0</v>
      </c>
    </row>
    <row r="49" spans="1:7" x14ac:dyDescent="0.2">
      <c r="A49" s="1">
        <v>21</v>
      </c>
      <c r="B49" s="211">
        <v>1.0465E-2</v>
      </c>
      <c r="C49" s="1">
        <v>1</v>
      </c>
      <c r="D49" s="1">
        <v>6</v>
      </c>
      <c r="E49" s="1">
        <v>2</v>
      </c>
      <c r="F49" s="1">
        <v>0</v>
      </c>
      <c r="G49" s="212">
        <f t="shared" si="1"/>
        <v>1.0928685883907453E-3</v>
      </c>
    </row>
    <row r="50" spans="1:7" x14ac:dyDescent="0.2">
      <c r="A50" s="1">
        <v>22</v>
      </c>
      <c r="B50" s="211">
        <v>-6.48272E-3</v>
      </c>
      <c r="C50" s="1">
        <v>2</v>
      </c>
      <c r="D50" s="1">
        <v>6</v>
      </c>
      <c r="E50" s="1">
        <v>2</v>
      </c>
      <c r="F50" s="1">
        <v>0</v>
      </c>
      <c r="G50" s="212">
        <f t="shared" si="1"/>
        <v>-6.0110877980572091E-4</v>
      </c>
    </row>
    <row r="51" spans="1:7" x14ac:dyDescent="0.2">
      <c r="A51" s="1">
        <v>23</v>
      </c>
      <c r="B51" s="211">
        <v>-8.4172799999999992E-3</v>
      </c>
      <c r="C51" s="1">
        <v>0</v>
      </c>
      <c r="D51" s="1">
        <v>3</v>
      </c>
      <c r="E51" s="1">
        <v>0</v>
      </c>
      <c r="F51" s="1">
        <v>1</v>
      </c>
      <c r="G51" s="212">
        <f t="shared" si="1"/>
        <v>-2.8867061759999993E-2</v>
      </c>
    </row>
    <row r="52" spans="1:7" x14ac:dyDescent="0.2">
      <c r="A52" s="1">
        <v>24</v>
      </c>
      <c r="B52" s="211">
        <v>1.684246E-2</v>
      </c>
      <c r="C52" s="1">
        <v>1</v>
      </c>
      <c r="D52" s="1">
        <v>3</v>
      </c>
      <c r="E52" s="1">
        <v>0</v>
      </c>
      <c r="F52" s="1">
        <v>1</v>
      </c>
      <c r="G52" s="212">
        <f t="shared" si="1"/>
        <v>5.128654324244148E-2</v>
      </c>
    </row>
    <row r="53" spans="1:7" x14ac:dyDescent="0.2">
      <c r="A53" s="1">
        <v>25</v>
      </c>
      <c r="B53" s="211">
        <v>-1.0229600000000001E-3</v>
      </c>
      <c r="C53" s="1">
        <v>3</v>
      </c>
      <c r="D53" s="1">
        <v>3</v>
      </c>
      <c r="E53" s="1">
        <v>0</v>
      </c>
      <c r="F53" s="1">
        <v>1</v>
      </c>
      <c r="G53" s="212">
        <f t="shared" si="1"/>
        <v>-2.4557872975483328E-3</v>
      </c>
    </row>
    <row r="54" spans="1:7" x14ac:dyDescent="0.2">
      <c r="A54" s="1">
        <v>26</v>
      </c>
      <c r="B54" s="211">
        <v>-3.1779099999999998E-2</v>
      </c>
      <c r="C54" s="1">
        <v>0</v>
      </c>
      <c r="D54" s="1">
        <v>3</v>
      </c>
      <c r="E54" s="1">
        <v>1</v>
      </c>
      <c r="F54" s="1">
        <v>1</v>
      </c>
      <c r="G54" s="212">
        <f t="shared" si="1"/>
        <v>-4.3594569379999996E-2</v>
      </c>
    </row>
    <row r="55" spans="1:7" x14ac:dyDescent="0.2">
      <c r="A55" s="1">
        <v>27</v>
      </c>
      <c r="B55" s="211">
        <v>1.8603999999999999E-2</v>
      </c>
      <c r="C55" s="1">
        <v>1</v>
      </c>
      <c r="D55" s="1">
        <v>0</v>
      </c>
      <c r="E55" s="1">
        <v>2</v>
      </c>
      <c r="F55" s="1">
        <v>1</v>
      </c>
      <c r="G55" s="212">
        <f t="shared" si="1"/>
        <v>1.0571908636458351E-2</v>
      </c>
    </row>
    <row r="56" spans="1:7" x14ac:dyDescent="0.2">
      <c r="A56" s="1">
        <v>28</v>
      </c>
      <c r="B56" s="211">
        <v>-4.1079799999999998E-3</v>
      </c>
      <c r="C56" s="1">
        <v>0</v>
      </c>
      <c r="D56" s="1">
        <v>2</v>
      </c>
      <c r="E56" s="1">
        <v>2</v>
      </c>
      <c r="F56" s="1">
        <v>1</v>
      </c>
      <c r="G56" s="212">
        <f t="shared" si="1"/>
        <v>-2.3727692480000001E-3</v>
      </c>
    </row>
    <row r="57" spans="1:7" x14ac:dyDescent="0.2">
      <c r="A57" s="1">
        <v>29</v>
      </c>
      <c r="B57" s="211">
        <v>-6.06848E-4</v>
      </c>
      <c r="C57" s="1">
        <v>0</v>
      </c>
      <c r="D57" s="1">
        <v>0</v>
      </c>
      <c r="E57" s="1">
        <v>0</v>
      </c>
      <c r="F57" s="1">
        <v>2</v>
      </c>
      <c r="G57" s="212">
        <f t="shared" si="1"/>
        <v>-9.709568E-3</v>
      </c>
    </row>
    <row r="58" spans="1:7" x14ac:dyDescent="0.2">
      <c r="A58" s="1">
        <v>30</v>
      </c>
      <c r="B58" s="211">
        <v>-4.9819E-3</v>
      </c>
      <c r="C58" s="1">
        <v>1</v>
      </c>
      <c r="D58" s="1">
        <v>0</v>
      </c>
      <c r="E58" s="1">
        <v>0</v>
      </c>
      <c r="F58" s="1">
        <v>2</v>
      </c>
      <c r="G58" s="212">
        <f t="shared" si="1"/>
        <v>-7.0775359648424865E-2</v>
      </c>
    </row>
    <row r="59" spans="1:7" x14ac:dyDescent="0.2">
      <c r="B59" s="211"/>
      <c r="G59" s="212">
        <f t="shared" si="1"/>
        <v>0</v>
      </c>
    </row>
    <row r="60" spans="1:7" x14ac:dyDescent="0.2">
      <c r="A60" s="1">
        <v>31</v>
      </c>
      <c r="B60" s="211">
        <v>2.5983E-3</v>
      </c>
      <c r="C60" s="1">
        <v>2</v>
      </c>
      <c r="D60" s="1">
        <v>0</v>
      </c>
      <c r="E60" s="1">
        <v>0</v>
      </c>
      <c r="F60" s="1">
        <v>2</v>
      </c>
      <c r="G60" s="212">
        <f t="shared" ref="G60:G68" si="2">B60*jjj^C60*psd^D60*fasf^E60*zzz^F60</f>
        <v>3.2775057995264187E-2</v>
      </c>
    </row>
    <row r="61" spans="1:7" x14ac:dyDescent="0.2">
      <c r="A61" s="1">
        <v>32</v>
      </c>
      <c r="B61" s="211">
        <v>-5.6052800000000002E-4</v>
      </c>
      <c r="C61" s="1">
        <v>3</v>
      </c>
      <c r="D61" s="1">
        <v>0</v>
      </c>
      <c r="E61" s="1">
        <v>0</v>
      </c>
      <c r="F61" s="1">
        <v>2</v>
      </c>
      <c r="G61" s="212">
        <f t="shared" si="2"/>
        <v>-6.2779605700336348E-3</v>
      </c>
    </row>
    <row r="62" spans="1:7" x14ac:dyDescent="0.2">
      <c r="A62" s="1">
        <v>33</v>
      </c>
      <c r="B62" s="211">
        <v>-1.63652E-3</v>
      </c>
      <c r="C62" s="1">
        <v>1</v>
      </c>
      <c r="D62" s="1">
        <v>2</v>
      </c>
      <c r="E62" s="1">
        <v>0</v>
      </c>
      <c r="F62" s="1">
        <v>2</v>
      </c>
      <c r="G62" s="212">
        <f t="shared" si="2"/>
        <v>-2.0982421494527358E-2</v>
      </c>
    </row>
    <row r="63" spans="1:7" x14ac:dyDescent="0.2">
      <c r="A63" s="1">
        <v>34</v>
      </c>
      <c r="B63" s="211">
        <v>-3.2878699999999998E-4</v>
      </c>
      <c r="C63" s="1">
        <v>1</v>
      </c>
      <c r="D63" s="1">
        <v>6</v>
      </c>
      <c r="E63" s="1">
        <v>0</v>
      </c>
      <c r="F63" s="1">
        <v>2</v>
      </c>
      <c r="G63" s="212">
        <f t="shared" si="2"/>
        <v>-3.43354978090041E-3</v>
      </c>
    </row>
    <row r="64" spans="1:7" x14ac:dyDescent="0.2">
      <c r="A64" s="1">
        <v>35</v>
      </c>
      <c r="B64" s="211">
        <v>1.16502E-4</v>
      </c>
      <c r="C64" s="1">
        <v>2</v>
      </c>
      <c r="D64" s="1">
        <v>6</v>
      </c>
      <c r="E64" s="1">
        <v>0</v>
      </c>
      <c r="F64" s="1">
        <v>2</v>
      </c>
      <c r="G64" s="212">
        <f t="shared" si="2"/>
        <v>1.0802622211807094E-3</v>
      </c>
    </row>
    <row r="65" spans="1:7" x14ac:dyDescent="0.2">
      <c r="A65" s="1">
        <v>36</v>
      </c>
      <c r="B65" s="211">
        <v>6.90904E-4</v>
      </c>
      <c r="C65" s="1">
        <v>0</v>
      </c>
      <c r="D65" s="1">
        <v>0</v>
      </c>
      <c r="E65" s="1">
        <v>1</v>
      </c>
      <c r="F65" s="1">
        <v>2</v>
      </c>
      <c r="G65" s="212">
        <f t="shared" si="2"/>
        <v>4.4217856000000003E-3</v>
      </c>
    </row>
    <row r="66" spans="1:7" x14ac:dyDescent="0.2">
      <c r="A66" s="1">
        <v>37</v>
      </c>
      <c r="B66" s="211">
        <v>4.21749E-3</v>
      </c>
      <c r="C66" s="1">
        <v>0</v>
      </c>
      <c r="D66" s="1">
        <v>3</v>
      </c>
      <c r="E66" s="1">
        <v>1</v>
      </c>
      <c r="F66" s="1">
        <v>2</v>
      </c>
      <c r="G66" s="212">
        <f t="shared" si="2"/>
        <v>2.3142211127999995E-2</v>
      </c>
    </row>
    <row r="67" spans="1:7" x14ac:dyDescent="0.2">
      <c r="A67" s="1">
        <v>38</v>
      </c>
      <c r="B67" s="211">
        <v>5.6522289999999999E-5</v>
      </c>
      <c r="C67" s="1">
        <v>3</v>
      </c>
      <c r="D67" s="1">
        <v>6</v>
      </c>
      <c r="E67" s="1">
        <v>1</v>
      </c>
      <c r="F67" s="1">
        <v>2</v>
      </c>
      <c r="G67" s="212">
        <f t="shared" si="2"/>
        <v>1.8614125770257756E-4</v>
      </c>
    </row>
    <row r="68" spans="1:7" x14ac:dyDescent="0.2">
      <c r="A68" s="1">
        <v>39</v>
      </c>
      <c r="B68" s="211">
        <v>-1.46564E-3</v>
      </c>
      <c r="C68" s="1">
        <v>0</v>
      </c>
      <c r="D68" s="1">
        <v>3</v>
      </c>
      <c r="E68" s="1">
        <v>2</v>
      </c>
      <c r="F68" s="1">
        <v>2</v>
      </c>
      <c r="G68" s="212">
        <f t="shared" si="2"/>
        <v>-3.2169039232000001E-3</v>
      </c>
    </row>
    <row r="69" spans="1:7" x14ac:dyDescent="0.2">
      <c r="B69" s="205"/>
      <c r="F69" s="1" t="s">
        <v>231</v>
      </c>
      <c r="G69" s="210">
        <f>SUM(G27:G68)</f>
        <v>7.9815102493668452E-2</v>
      </c>
    </row>
    <row r="70" spans="1:7" x14ac:dyDescent="0.2">
      <c r="B70" s="205"/>
    </row>
    <row r="71" spans="1:7" x14ac:dyDescent="0.2">
      <c r="A71" s="210" t="s">
        <v>232</v>
      </c>
      <c r="B71" s="205"/>
    </row>
    <row r="72" spans="1:7" x14ac:dyDescent="0.2">
      <c r="B72" s="205"/>
    </row>
    <row r="73" spans="1:7" x14ac:dyDescent="0.2">
      <c r="A73" s="1">
        <v>1</v>
      </c>
      <c r="B73" s="204">
        <v>3.7936799999999998E-3</v>
      </c>
      <c r="C73" s="1">
        <v>0</v>
      </c>
      <c r="D73" s="1">
        <v>0</v>
      </c>
      <c r="E73" s="1">
        <v>0</v>
      </c>
      <c r="F73" s="1">
        <v>0</v>
      </c>
      <c r="G73" s="212">
        <f t="shared" ref="G73:G88" si="3">B73*jjj^C73*psd^D73*fasf^E73*zzz^F73</f>
        <v>3.7936799999999998E-3</v>
      </c>
    </row>
    <row r="74" spans="1:7" x14ac:dyDescent="0.2">
      <c r="A74" s="1">
        <v>2</v>
      </c>
      <c r="B74" s="204">
        <v>8.86523E-3</v>
      </c>
      <c r="C74" s="1">
        <v>2</v>
      </c>
      <c r="D74" s="1">
        <v>0</v>
      </c>
      <c r="E74" s="1">
        <v>0</v>
      </c>
      <c r="F74" s="1">
        <v>0</v>
      </c>
      <c r="G74" s="212">
        <f t="shared" si="3"/>
        <v>6.9891474086748052E-3</v>
      </c>
    </row>
    <row r="75" spans="1:7" x14ac:dyDescent="0.2">
      <c r="A75" s="1">
        <v>3</v>
      </c>
      <c r="B75" s="204">
        <v>-3.2240999999999999E-2</v>
      </c>
      <c r="C75" s="1">
        <v>1</v>
      </c>
      <c r="D75" s="1">
        <v>1</v>
      </c>
      <c r="E75" s="1">
        <v>0</v>
      </c>
      <c r="F75" s="1">
        <v>0</v>
      </c>
      <c r="G75" s="212">
        <f t="shared" si="3"/>
        <v>-2.7195635097849499E-2</v>
      </c>
    </row>
    <row r="76" spans="1:7" x14ac:dyDescent="0.2">
      <c r="A76" s="1">
        <v>4</v>
      </c>
      <c r="B76" s="204">
        <v>3.4477800000000001E-3</v>
      </c>
      <c r="C76" s="1">
        <v>0</v>
      </c>
      <c r="D76" s="1">
        <v>2</v>
      </c>
      <c r="E76" s="1">
        <v>0</v>
      </c>
      <c r="F76" s="1">
        <v>0</v>
      </c>
      <c r="G76" s="212">
        <f t="shared" si="3"/>
        <v>3.1116214500000001E-3</v>
      </c>
    </row>
    <row r="77" spans="1:7" x14ac:dyDescent="0.2">
      <c r="A77" s="1">
        <v>5</v>
      </c>
      <c r="B77" s="204">
        <v>-4.0881099999999997E-2</v>
      </c>
      <c r="C77" s="1">
        <v>0</v>
      </c>
      <c r="D77" s="1">
        <v>1</v>
      </c>
      <c r="E77" s="1">
        <v>1</v>
      </c>
      <c r="F77" s="1">
        <v>0</v>
      </c>
      <c r="G77" s="212">
        <f t="shared" si="3"/>
        <v>-1.5534817999999999E-2</v>
      </c>
    </row>
    <row r="78" spans="1:7" x14ac:dyDescent="0.2">
      <c r="A78" s="1">
        <v>6</v>
      </c>
      <c r="B78" s="204">
        <v>-0.10800899999999999</v>
      </c>
      <c r="C78" s="1">
        <v>1</v>
      </c>
      <c r="D78" s="1">
        <v>1</v>
      </c>
      <c r="E78" s="1">
        <v>1</v>
      </c>
      <c r="F78" s="1">
        <v>0</v>
      </c>
      <c r="G78" s="212">
        <f t="shared" si="3"/>
        <v>-3.6442707748315831E-2</v>
      </c>
    </row>
    <row r="79" spans="1:7" x14ac:dyDescent="0.2">
      <c r="A79" s="1">
        <v>7</v>
      </c>
      <c r="B79" s="204">
        <v>-8.8538099999999995E-2</v>
      </c>
      <c r="C79" s="1">
        <v>2</v>
      </c>
      <c r="D79" s="1">
        <v>1</v>
      </c>
      <c r="E79" s="1">
        <v>1</v>
      </c>
      <c r="F79" s="1">
        <v>0</v>
      </c>
      <c r="G79" s="212">
        <f t="shared" si="3"/>
        <v>-2.6524547725204701E-2</v>
      </c>
    </row>
    <row r="80" spans="1:7" x14ac:dyDescent="0.2">
      <c r="A80" s="1">
        <v>8</v>
      </c>
      <c r="B80" s="204">
        <v>0.18856100000000001</v>
      </c>
      <c r="C80" s="1">
        <v>0</v>
      </c>
      <c r="D80" s="1">
        <v>2</v>
      </c>
      <c r="E80" s="1">
        <v>1</v>
      </c>
      <c r="F80" s="1">
        <v>0</v>
      </c>
      <c r="G80" s="212">
        <f t="shared" si="3"/>
        <v>6.8070520999999995E-2</v>
      </c>
    </row>
    <row r="81" spans="1:7" x14ac:dyDescent="0.2">
      <c r="A81" s="1">
        <v>9</v>
      </c>
      <c r="B81" s="204">
        <v>-3.70871E-3</v>
      </c>
      <c r="C81" s="1">
        <v>1</v>
      </c>
      <c r="D81" s="1">
        <v>0</v>
      </c>
      <c r="E81" s="1">
        <v>0</v>
      </c>
      <c r="F81" s="1">
        <v>1</v>
      </c>
      <c r="G81" s="212">
        <f t="shared" si="3"/>
        <v>-1.3171946650961972E-2</v>
      </c>
    </row>
    <row r="82" spans="1:7" x14ac:dyDescent="0.2">
      <c r="A82" s="1">
        <v>10</v>
      </c>
      <c r="B82" s="204">
        <v>5.1369600000000003E-3</v>
      </c>
      <c r="C82" s="1">
        <v>0</v>
      </c>
      <c r="D82" s="1">
        <v>1</v>
      </c>
      <c r="E82" s="1">
        <v>0</v>
      </c>
      <c r="F82" s="1">
        <v>1</v>
      </c>
      <c r="G82" s="212">
        <f t="shared" si="3"/>
        <v>1.9520447999999999E-2</v>
      </c>
    </row>
    <row r="83" spans="1:7" x14ac:dyDescent="0.2">
      <c r="B83" s="204"/>
      <c r="G83" s="212">
        <f t="shared" si="3"/>
        <v>0</v>
      </c>
    </row>
    <row r="84" spans="1:7" x14ac:dyDescent="0.2">
      <c r="A84" s="1">
        <v>11</v>
      </c>
      <c r="B84" s="204">
        <v>2.0944899999999999E-2</v>
      </c>
      <c r="C84" s="1">
        <v>1</v>
      </c>
      <c r="D84" s="1">
        <v>1</v>
      </c>
      <c r="E84" s="1">
        <v>0</v>
      </c>
      <c r="F84" s="1">
        <v>1</v>
      </c>
      <c r="G84" s="212">
        <f t="shared" si="3"/>
        <v>7.0669006241859497E-2</v>
      </c>
    </row>
    <row r="85" spans="1:7" x14ac:dyDescent="0.2">
      <c r="A85" s="1">
        <v>12</v>
      </c>
      <c r="B85" s="204">
        <v>4.7431900000000004E-3</v>
      </c>
      <c r="C85" s="1">
        <v>2</v>
      </c>
      <c r="D85" s="1">
        <v>1</v>
      </c>
      <c r="E85" s="1">
        <v>0</v>
      </c>
      <c r="F85" s="1">
        <v>1</v>
      </c>
      <c r="G85" s="212">
        <f t="shared" si="3"/>
        <v>1.4209811315661134E-2</v>
      </c>
    </row>
    <row r="86" spans="1:7" x14ac:dyDescent="0.2">
      <c r="A86" s="1">
        <v>13</v>
      </c>
      <c r="B86" s="204">
        <v>-7.2340800000000004E-3</v>
      </c>
      <c r="C86" s="1">
        <v>2</v>
      </c>
      <c r="D86" s="1">
        <v>0</v>
      </c>
      <c r="E86" s="1">
        <v>1</v>
      </c>
      <c r="F86" s="1">
        <v>1</v>
      </c>
      <c r="G86" s="212">
        <f t="shared" si="3"/>
        <v>-9.1250968534188036E-3</v>
      </c>
    </row>
    <row r="87" spans="1:7" x14ac:dyDescent="0.2">
      <c r="A87" s="1">
        <v>14</v>
      </c>
      <c r="B87" s="204">
        <v>4.3838799999999997E-3</v>
      </c>
      <c r="C87" s="1">
        <v>1</v>
      </c>
      <c r="D87" s="1">
        <v>1</v>
      </c>
      <c r="E87" s="1">
        <v>1</v>
      </c>
      <c r="F87" s="1">
        <v>1</v>
      </c>
      <c r="G87" s="212">
        <f t="shared" si="3"/>
        <v>5.9165609400582096E-3</v>
      </c>
    </row>
    <row r="88" spans="1:7" x14ac:dyDescent="0.2">
      <c r="A88" s="1">
        <v>15</v>
      </c>
      <c r="B88" s="204">
        <v>-2.69403E-2</v>
      </c>
      <c r="C88" s="1">
        <v>0</v>
      </c>
      <c r="D88" s="1">
        <v>2</v>
      </c>
      <c r="E88" s="1">
        <v>1</v>
      </c>
      <c r="F88" s="1">
        <v>1</v>
      </c>
      <c r="G88" s="212">
        <f t="shared" si="3"/>
        <v>-3.8901793200000007E-2</v>
      </c>
    </row>
    <row r="89" spans="1:7" x14ac:dyDescent="0.2">
      <c r="A89" s="1">
        <v>16</v>
      </c>
      <c r="B89" s="204">
        <v>5.5808200000000002E-2</v>
      </c>
      <c r="C89" s="1">
        <v>3</v>
      </c>
      <c r="D89" s="1">
        <v>0</v>
      </c>
      <c r="E89" s="1">
        <v>1</v>
      </c>
      <c r="F89" s="1">
        <v>0</v>
      </c>
      <c r="G89" s="212">
        <f t="shared" ref="G89:G104" si="4">B89*jjj^C89*psd^D89*fasf^E89*zzz^F89</f>
        <v>1.562641291267123E-2</v>
      </c>
    </row>
    <row r="90" spans="1:7" x14ac:dyDescent="0.2">
      <c r="A90" s="1">
        <v>17</v>
      </c>
      <c r="B90" s="204">
        <v>1.6188600000000001E-2</v>
      </c>
      <c r="C90" s="1">
        <v>0</v>
      </c>
      <c r="D90" s="1">
        <v>3</v>
      </c>
      <c r="E90" s="1">
        <v>1</v>
      </c>
      <c r="F90" s="1">
        <v>0</v>
      </c>
      <c r="G90" s="212">
        <f t="shared" si="4"/>
        <v>5.5518803699999997E-3</v>
      </c>
    </row>
    <row r="91" spans="1:7" x14ac:dyDescent="0.2">
      <c r="A91" s="1">
        <v>18</v>
      </c>
      <c r="B91" s="204">
        <v>3.1808600000000002E-3</v>
      </c>
      <c r="C91" s="1">
        <v>1</v>
      </c>
      <c r="D91" s="1">
        <v>3</v>
      </c>
      <c r="E91" s="1">
        <v>1</v>
      </c>
      <c r="F91" s="1">
        <v>0</v>
      </c>
      <c r="G91" s="212">
        <f t="shared" si="4"/>
        <v>9.6859552546452491E-4</v>
      </c>
    </row>
    <row r="92" spans="1:7" x14ac:dyDescent="0.2">
      <c r="A92" s="1">
        <v>19</v>
      </c>
      <c r="B92" s="204">
        <v>1.5896E-2</v>
      </c>
      <c r="C92" s="1">
        <v>0</v>
      </c>
      <c r="D92" s="1">
        <v>0</v>
      </c>
      <c r="E92" s="1">
        <v>2</v>
      </c>
      <c r="F92" s="1">
        <v>0</v>
      </c>
      <c r="G92" s="212">
        <f t="shared" si="4"/>
        <v>2.5433600000000006E-3</v>
      </c>
    </row>
    <row r="93" spans="1:7" x14ac:dyDescent="0.2">
      <c r="A93" s="1">
        <v>20</v>
      </c>
      <c r="B93" s="204">
        <v>4.7172899999999997E-2</v>
      </c>
      <c r="C93" s="1">
        <v>1</v>
      </c>
      <c r="D93" s="1">
        <v>0</v>
      </c>
      <c r="E93" s="1">
        <v>2</v>
      </c>
      <c r="F93" s="1">
        <v>0</v>
      </c>
      <c r="G93" s="212">
        <f t="shared" si="4"/>
        <v>6.7016177826917083E-3</v>
      </c>
    </row>
    <row r="94" spans="1:7" x14ac:dyDescent="0.2">
      <c r="B94" s="204"/>
      <c r="G94" s="212">
        <f t="shared" si="4"/>
        <v>0</v>
      </c>
    </row>
    <row r="95" spans="1:7" x14ac:dyDescent="0.2">
      <c r="A95" s="1">
        <v>21</v>
      </c>
      <c r="B95" s="204">
        <v>1.9628300000000001E-2</v>
      </c>
      <c r="C95" s="1">
        <v>3</v>
      </c>
      <c r="D95" s="1">
        <v>0</v>
      </c>
      <c r="E95" s="1">
        <v>2</v>
      </c>
      <c r="F95" s="1">
        <v>0</v>
      </c>
      <c r="G95" s="212">
        <f t="shared" si="4"/>
        <v>2.1983860477405451E-3</v>
      </c>
    </row>
    <row r="96" spans="1:7" x14ac:dyDescent="0.2">
      <c r="A96" s="1">
        <v>22</v>
      </c>
      <c r="B96" s="204">
        <v>-5.0278200000000002E-2</v>
      </c>
      <c r="C96" s="1">
        <v>0</v>
      </c>
      <c r="D96" s="1">
        <v>1</v>
      </c>
      <c r="E96" s="1">
        <v>2</v>
      </c>
      <c r="F96" s="1">
        <v>0</v>
      </c>
      <c r="G96" s="212">
        <f t="shared" si="4"/>
        <v>-7.6422864000000017E-3</v>
      </c>
    </row>
    <row r="97" spans="1:7" x14ac:dyDescent="0.2">
      <c r="A97" s="1">
        <v>23</v>
      </c>
      <c r="B97" s="204">
        <v>-3.0054999999999998E-2</v>
      </c>
      <c r="C97" s="1">
        <v>3</v>
      </c>
      <c r="D97" s="1">
        <v>1</v>
      </c>
      <c r="E97" s="1">
        <v>2</v>
      </c>
      <c r="F97" s="1">
        <v>0</v>
      </c>
      <c r="G97" s="212">
        <f t="shared" si="4"/>
        <v>-3.1978759256583588E-3</v>
      </c>
    </row>
    <row r="98" spans="1:7" x14ac:dyDescent="0.2">
      <c r="A98" s="1">
        <v>24</v>
      </c>
      <c r="B98" s="204">
        <v>4.1712199999999998E-2</v>
      </c>
      <c r="C98" s="1">
        <v>2</v>
      </c>
      <c r="D98" s="1">
        <v>2</v>
      </c>
      <c r="E98" s="1">
        <v>2</v>
      </c>
      <c r="F98" s="1">
        <v>0</v>
      </c>
      <c r="G98" s="212">
        <f t="shared" si="4"/>
        <v>4.7485879079949521E-3</v>
      </c>
    </row>
    <row r="99" spans="1:7" x14ac:dyDescent="0.2">
      <c r="A99" s="1">
        <v>25</v>
      </c>
      <c r="B99" s="204">
        <v>-3.9772200000000001E-2</v>
      </c>
      <c r="C99" s="1">
        <v>0</v>
      </c>
      <c r="D99" s="1">
        <v>3</v>
      </c>
      <c r="E99" s="1">
        <v>2</v>
      </c>
      <c r="F99" s="1">
        <v>0</v>
      </c>
      <c r="G99" s="212">
        <f t="shared" si="4"/>
        <v>-5.4559503960000004E-3</v>
      </c>
    </row>
    <row r="100" spans="1:7" x14ac:dyDescent="0.2">
      <c r="A100" s="1">
        <v>26</v>
      </c>
      <c r="B100" s="204">
        <v>-3.5002399999999999E-3</v>
      </c>
      <c r="C100" s="1">
        <v>0</v>
      </c>
      <c r="D100" s="1">
        <v>6</v>
      </c>
      <c r="E100" s="1">
        <v>2</v>
      </c>
      <c r="F100" s="1">
        <v>0</v>
      </c>
      <c r="G100" s="212">
        <f t="shared" si="4"/>
        <v>-4.116796862786E-4</v>
      </c>
    </row>
    <row r="101" spans="1:7" x14ac:dyDescent="0.2">
      <c r="A101" s="1">
        <v>27</v>
      </c>
      <c r="B101" s="204">
        <v>-1.0685399999999999E-2</v>
      </c>
      <c r="C101" s="1">
        <v>3</v>
      </c>
      <c r="D101" s="1">
        <v>0</v>
      </c>
      <c r="E101" s="1">
        <v>0</v>
      </c>
      <c r="F101" s="1">
        <v>1</v>
      </c>
      <c r="G101" s="212">
        <f t="shared" si="4"/>
        <v>-2.9919343848584461E-2</v>
      </c>
    </row>
    <row r="102" spans="1:7" x14ac:dyDescent="0.2">
      <c r="A102" s="1">
        <v>28</v>
      </c>
      <c r="B102" s="204">
        <v>1.10903E-3</v>
      </c>
      <c r="C102" s="1">
        <v>3</v>
      </c>
      <c r="D102" s="1">
        <v>3</v>
      </c>
      <c r="E102" s="1">
        <v>0</v>
      </c>
      <c r="F102" s="1">
        <v>1</v>
      </c>
      <c r="G102" s="212">
        <f t="shared" si="4"/>
        <v>2.662412788965382E-3</v>
      </c>
    </row>
    <row r="103" spans="1:7" x14ac:dyDescent="0.2">
      <c r="A103" s="1">
        <v>29</v>
      </c>
      <c r="B103" s="204">
        <v>-3.1391200000000001E-4</v>
      </c>
      <c r="C103" s="1">
        <v>0</v>
      </c>
      <c r="D103" s="1">
        <v>6</v>
      </c>
      <c r="E103" s="1">
        <v>0</v>
      </c>
      <c r="F103" s="1">
        <v>1</v>
      </c>
      <c r="G103" s="212">
        <f t="shared" si="4"/>
        <v>-9.2301666227949993E-4</v>
      </c>
    </row>
    <row r="104" spans="1:7" x14ac:dyDescent="0.2">
      <c r="A104" s="1">
        <v>30</v>
      </c>
      <c r="B104" s="204">
        <v>3.5985000000000001E-3</v>
      </c>
      <c r="C104" s="1">
        <v>3</v>
      </c>
      <c r="D104" s="1">
        <v>0</v>
      </c>
      <c r="E104" s="1">
        <v>1</v>
      </c>
      <c r="F104" s="1">
        <v>1</v>
      </c>
      <c r="G104" s="212">
        <f t="shared" si="4"/>
        <v>4.0303501540094409E-3</v>
      </c>
    </row>
    <row r="105" spans="1:7" x14ac:dyDescent="0.2">
      <c r="B105" s="204"/>
      <c r="G105" s="212">
        <f t="shared" ref="G105:G120" si="5">B105*jjj^C105*psd^D105*fasf^E105*zzz^F105</f>
        <v>0</v>
      </c>
    </row>
    <row r="106" spans="1:7" x14ac:dyDescent="0.2">
      <c r="A106" s="1">
        <v>31</v>
      </c>
      <c r="B106" s="204">
        <v>-1.42121E-3</v>
      </c>
      <c r="C106" s="1">
        <v>0</v>
      </c>
      <c r="D106" s="1">
        <v>6</v>
      </c>
      <c r="E106" s="1">
        <v>1</v>
      </c>
      <c r="F106" s="1">
        <v>1</v>
      </c>
      <c r="G106" s="212">
        <f t="shared" si="5"/>
        <v>-1.6715519134002498E-3</v>
      </c>
    </row>
    <row r="107" spans="1:7" x14ac:dyDescent="0.2">
      <c r="A107" s="1">
        <v>32</v>
      </c>
      <c r="B107" s="204">
        <v>-3.83637E-3</v>
      </c>
      <c r="C107" s="1">
        <v>1</v>
      </c>
      <c r="D107" s="1">
        <v>0</v>
      </c>
      <c r="E107" s="1">
        <v>2</v>
      </c>
      <c r="F107" s="1">
        <v>1</v>
      </c>
      <c r="G107" s="212">
        <f t="shared" si="5"/>
        <v>-2.180055532984827E-3</v>
      </c>
    </row>
    <row r="108" spans="1:7" x14ac:dyDescent="0.2">
      <c r="A108" s="1">
        <v>33</v>
      </c>
      <c r="B108" s="204">
        <v>1.26803E-2</v>
      </c>
      <c r="C108" s="1">
        <v>0</v>
      </c>
      <c r="D108" s="1">
        <v>2</v>
      </c>
      <c r="E108" s="1">
        <v>2</v>
      </c>
      <c r="F108" s="1">
        <v>1</v>
      </c>
      <c r="G108" s="212">
        <f t="shared" si="5"/>
        <v>7.3241412800000008E-3</v>
      </c>
    </row>
    <row r="109" spans="1:7" x14ac:dyDescent="0.2">
      <c r="A109" s="1">
        <v>34</v>
      </c>
      <c r="B109" s="204">
        <v>-3.1827800000000001E-3</v>
      </c>
      <c r="C109" s="1">
        <v>2</v>
      </c>
      <c r="D109" s="1">
        <v>3</v>
      </c>
      <c r="E109" s="1">
        <v>2</v>
      </c>
      <c r="F109" s="1">
        <v>1</v>
      </c>
      <c r="G109" s="212">
        <f t="shared" si="5"/>
        <v>-1.3768657697956726E-3</v>
      </c>
    </row>
    <row r="110" spans="1:7" x14ac:dyDescent="0.2">
      <c r="A110" s="1">
        <v>35</v>
      </c>
      <c r="B110" s="204">
        <v>3.3426799999999998E-3</v>
      </c>
      <c r="C110" s="1">
        <v>0</v>
      </c>
      <c r="D110" s="1">
        <v>6</v>
      </c>
      <c r="E110" s="1">
        <v>2</v>
      </c>
      <c r="F110" s="1">
        <v>1</v>
      </c>
      <c r="G110" s="212">
        <f t="shared" si="5"/>
        <v>1.5725932550108E-3</v>
      </c>
    </row>
    <row r="111" spans="1:7" x14ac:dyDescent="0.2">
      <c r="A111" s="1">
        <v>36</v>
      </c>
      <c r="B111" s="204">
        <v>-1.8349099999999999E-3</v>
      </c>
      <c r="C111" s="1">
        <v>1</v>
      </c>
      <c r="D111" s="1">
        <v>1</v>
      </c>
      <c r="E111" s="1">
        <v>0</v>
      </c>
      <c r="F111" s="1">
        <v>2</v>
      </c>
      <c r="G111" s="212">
        <f t="shared" si="5"/>
        <v>-2.4764265523970114E-2</v>
      </c>
    </row>
    <row r="112" spans="1:7" x14ac:dyDescent="0.2">
      <c r="A112" s="1">
        <v>37</v>
      </c>
      <c r="B112" s="204">
        <v>1.12451E-4</v>
      </c>
      <c r="C112" s="1">
        <v>3</v>
      </c>
      <c r="D112" s="1">
        <v>2</v>
      </c>
      <c r="E112" s="1">
        <v>0</v>
      </c>
      <c r="F112" s="1">
        <v>2</v>
      </c>
      <c r="G112" s="212">
        <f t="shared" si="5"/>
        <v>1.1366632122122699E-3</v>
      </c>
    </row>
    <row r="113" spans="1:8" x14ac:dyDescent="0.2">
      <c r="A113" s="1">
        <v>38</v>
      </c>
      <c r="B113" s="204">
        <v>-2.9722799999999999E-5</v>
      </c>
      <c r="C113" s="1">
        <v>3</v>
      </c>
      <c r="D113" s="1">
        <v>6</v>
      </c>
      <c r="E113" s="1">
        <v>0</v>
      </c>
      <c r="F113" s="1">
        <v>2</v>
      </c>
      <c r="G113" s="212">
        <f t="shared" si="5"/>
        <v>-2.4471051042173681E-4</v>
      </c>
    </row>
    <row r="114" spans="1:8" x14ac:dyDescent="0.2">
      <c r="A114" s="1">
        <v>39</v>
      </c>
      <c r="B114" s="204">
        <v>2.6955099999999998E-4</v>
      </c>
      <c r="C114" s="1">
        <v>1</v>
      </c>
      <c r="D114" s="1">
        <v>0</v>
      </c>
      <c r="E114" s="1">
        <v>1</v>
      </c>
      <c r="F114" s="1">
        <v>2</v>
      </c>
      <c r="G114" s="212">
        <f t="shared" si="5"/>
        <v>1.5317504541313611E-3</v>
      </c>
    </row>
    <row r="115" spans="1:8" x14ac:dyDescent="0.2">
      <c r="A115" s="1">
        <v>40</v>
      </c>
      <c r="B115" s="204">
        <v>8.3264999999999999E-4</v>
      </c>
      <c r="C115" s="1">
        <v>2</v>
      </c>
      <c r="D115" s="1">
        <v>0</v>
      </c>
      <c r="E115" s="1">
        <v>1</v>
      </c>
      <c r="F115" s="1">
        <v>2</v>
      </c>
      <c r="G115" s="212">
        <f t="shared" si="5"/>
        <v>4.2012318885050574E-3</v>
      </c>
    </row>
    <row r="116" spans="1:8" x14ac:dyDescent="0.2">
      <c r="B116" s="204"/>
      <c r="G116" s="212">
        <f t="shared" si="5"/>
        <v>0</v>
      </c>
    </row>
    <row r="117" spans="1:8" x14ac:dyDescent="0.2">
      <c r="A117" s="1">
        <v>41</v>
      </c>
      <c r="B117" s="204">
        <v>1.5533400000000001E-3</v>
      </c>
      <c r="C117" s="1">
        <v>0</v>
      </c>
      <c r="D117" s="1">
        <v>2</v>
      </c>
      <c r="E117" s="1">
        <v>1</v>
      </c>
      <c r="F117" s="1">
        <v>2</v>
      </c>
      <c r="G117" s="212">
        <f t="shared" si="5"/>
        <v>8.9720918399999999E-3</v>
      </c>
    </row>
    <row r="118" spans="1:8" x14ac:dyDescent="0.2">
      <c r="A118" s="1">
        <v>42</v>
      </c>
      <c r="B118" s="204">
        <v>3.0268299999999999E-4</v>
      </c>
      <c r="C118" s="1">
        <v>0</v>
      </c>
      <c r="D118" s="1">
        <v>6</v>
      </c>
      <c r="E118" s="1">
        <v>1</v>
      </c>
      <c r="F118" s="1">
        <v>2</v>
      </c>
      <c r="G118" s="212">
        <f t="shared" si="5"/>
        <v>1.4239988398722998E-3</v>
      </c>
    </row>
    <row r="119" spans="1:8" x14ac:dyDescent="0.2">
      <c r="A119" s="1">
        <v>43</v>
      </c>
      <c r="B119" s="204">
        <v>-1.8430000000000001E-4</v>
      </c>
      <c r="C119" s="1">
        <v>0</v>
      </c>
      <c r="D119" s="1">
        <v>0</v>
      </c>
      <c r="E119" s="1">
        <v>2</v>
      </c>
      <c r="F119" s="1">
        <v>2</v>
      </c>
      <c r="G119" s="212">
        <f t="shared" si="5"/>
        <v>-4.718080000000001E-4</v>
      </c>
    </row>
    <row r="120" spans="1:8" x14ac:dyDescent="0.2">
      <c r="A120" s="1">
        <v>44</v>
      </c>
      <c r="B120" s="204">
        <v>-4.2539900000000002E-4</v>
      </c>
      <c r="C120" s="1">
        <v>0</v>
      </c>
      <c r="D120" s="1">
        <v>3</v>
      </c>
      <c r="E120" s="1">
        <v>2</v>
      </c>
      <c r="F120" s="1">
        <v>2</v>
      </c>
      <c r="G120" s="212">
        <f t="shared" si="5"/>
        <v>-9.3369975712000012E-4</v>
      </c>
    </row>
    <row r="121" spans="1:8" x14ac:dyDescent="0.2">
      <c r="A121" s="1">
        <v>45</v>
      </c>
      <c r="B121" s="204">
        <v>8.6924300000000004E-5</v>
      </c>
      <c r="C121" s="1">
        <v>3</v>
      </c>
      <c r="D121" s="1">
        <v>3</v>
      </c>
      <c r="E121" s="1">
        <v>2</v>
      </c>
      <c r="F121" s="1">
        <v>2</v>
      </c>
      <c r="G121" s="212">
        <f>B121*jjj^C121*psd^D121*fasf^E121*zzz^F121</f>
        <v>1.3355288451601195E-4</v>
      </c>
    </row>
    <row r="122" spans="1:8" x14ac:dyDescent="0.2">
      <c r="A122" s="1">
        <v>46</v>
      </c>
      <c r="B122" s="204">
        <v>-4.6589999999999999E-4</v>
      </c>
      <c r="C122" s="1">
        <v>0</v>
      </c>
      <c r="D122" s="1">
        <v>6</v>
      </c>
      <c r="E122" s="1">
        <v>2</v>
      </c>
      <c r="F122" s="1">
        <v>2</v>
      </c>
      <c r="G122" s="212">
        <f>B122*jjj^C122*psd^D122*fasf^E122*zzz^F122</f>
        <v>-8.767470383160001E-4</v>
      </c>
    </row>
    <row r="123" spans="1:8" x14ac:dyDescent="0.2">
      <c r="A123" s="1">
        <v>47</v>
      </c>
      <c r="B123" s="204">
        <v>5.54194E-5</v>
      </c>
      <c r="C123" s="1">
        <v>1</v>
      </c>
      <c r="D123" s="1">
        <v>6</v>
      </c>
      <c r="E123" s="1">
        <v>2</v>
      </c>
      <c r="F123" s="1">
        <v>2</v>
      </c>
      <c r="G123" s="212">
        <f>B123*jjj^C123*psd^D123*fasf^E123*zzz^F123</f>
        <v>9.2599899011886581E-5</v>
      </c>
    </row>
    <row r="124" spans="1:8" x14ac:dyDescent="0.2">
      <c r="F124" s="1" t="s">
        <v>233</v>
      </c>
      <c r="G124" s="213">
        <f>SUM(G73:G123)</f>
        <v>1.6734621158490781E-2</v>
      </c>
    </row>
    <row r="126" spans="1:8" x14ac:dyDescent="0.2">
      <c r="A126" s="1" t="s">
        <v>203</v>
      </c>
      <c r="C126" s="1" t="s">
        <v>234</v>
      </c>
      <c r="D126" s="1" t="s">
        <v>235</v>
      </c>
      <c r="E126" s="1" t="s">
        <v>236</v>
      </c>
      <c r="F126" s="1" t="s">
        <v>237</v>
      </c>
      <c r="G126" s="1" t="s">
        <v>238</v>
      </c>
    </row>
    <row r="127" spans="1:8" x14ac:dyDescent="0.2">
      <c r="B127" s="1">
        <v>3.5348500000000001E-4</v>
      </c>
      <c r="C127" s="1">
        <v>1</v>
      </c>
      <c r="D127" s="1">
        <v>1</v>
      </c>
      <c r="E127" s="1">
        <v>1</v>
      </c>
      <c r="F127" s="1">
        <v>1</v>
      </c>
      <c r="G127" s="1">
        <v>1</v>
      </c>
      <c r="H127" s="203">
        <f>G127*F127*E127*D127*C127*B127</f>
        <v>3.5348500000000001E-4</v>
      </c>
    </row>
    <row r="128" spans="1:8" x14ac:dyDescent="0.2">
      <c r="B128" s="1">
        <v>-3.3375800000000001E-3</v>
      </c>
      <c r="C128" s="1">
        <v>1</v>
      </c>
      <c r="D128" s="1">
        <v>1</v>
      </c>
      <c r="E128" s="1">
        <f>fasf</f>
        <v>0.4</v>
      </c>
      <c r="F128" s="1">
        <v>1</v>
      </c>
      <c r="G128" s="208">
        <f>jjj^2</f>
        <v>0.78837744860255232</v>
      </c>
      <c r="H128" s="203">
        <f t="shared" ref="H128:H135" si="6">G128*F128*E128*D128*C128*B128</f>
        <v>-1.0525091219627629E-3</v>
      </c>
    </row>
    <row r="129" spans="1:8" x14ac:dyDescent="0.2">
      <c r="B129" s="1">
        <v>-4.7812499999999999E-3</v>
      </c>
      <c r="C129" s="1">
        <v>1</v>
      </c>
      <c r="D129" s="205">
        <v>1</v>
      </c>
      <c r="E129" s="1">
        <f>fasf</f>
        <v>0.4</v>
      </c>
      <c r="F129" s="206">
        <f>psd</f>
        <v>0.95</v>
      </c>
      <c r="G129" s="208">
        <f>jjj</f>
        <v>0.88790621610762044</v>
      </c>
      <c r="H129" s="203">
        <f t="shared" si="6"/>
        <v>-1.6132146063905328E-3</v>
      </c>
    </row>
    <row r="130" spans="1:8" x14ac:dyDescent="0.2">
      <c r="B130" s="1">
        <v>2.5779200000000001E-4</v>
      </c>
      <c r="C130" s="208">
        <f>(LOG(_rn075)-0.301)^2</f>
        <v>39.611385603902058</v>
      </c>
      <c r="D130" s="1">
        <v>1</v>
      </c>
      <c r="E130" s="1">
        <f>fasf</f>
        <v>0.4</v>
      </c>
      <c r="F130" s="1">
        <v>1</v>
      </c>
      <c r="G130" s="209">
        <f>jjj^2</f>
        <v>0.78837744860255232</v>
      </c>
      <c r="H130" s="203">
        <f t="shared" si="6"/>
        <v>3.2202059960158508E-3</v>
      </c>
    </row>
    <row r="131" spans="1:8" x14ac:dyDescent="0.2">
      <c r="B131" s="230">
        <v>6.4319200000000006E-5</v>
      </c>
      <c r="C131" s="208">
        <f>(LOG(_rn075)-0.301)</f>
        <v>6.2937576696201178</v>
      </c>
      <c r="D131" s="1">
        <v>1</v>
      </c>
      <c r="E131" s="1">
        <v>1</v>
      </c>
      <c r="F131" s="208">
        <f>psd^6</f>
        <v>0.73509189062499991</v>
      </c>
      <c r="G131" s="209">
        <f>jjj^2</f>
        <v>0.78837744860255232</v>
      </c>
      <c r="H131" s="203">
        <f t="shared" si="6"/>
        <v>2.3459917242958035E-4</v>
      </c>
    </row>
    <row r="132" spans="1:8" x14ac:dyDescent="0.2">
      <c r="B132" s="230">
        <v>-1.10636E-5</v>
      </c>
      <c r="C132" s="208">
        <f>(LOG(_rn075)-0.301)^2</f>
        <v>39.611385603902058</v>
      </c>
      <c r="D132" s="1">
        <v>1</v>
      </c>
      <c r="E132" s="1">
        <v>1</v>
      </c>
      <c r="F132" s="208">
        <f>psd^6</f>
        <v>0.73509189062499991</v>
      </c>
      <c r="G132" s="209">
        <f>jjj^2</f>
        <v>0.78837744860255232</v>
      </c>
      <c r="H132" s="203">
        <f t="shared" si="6"/>
        <v>-2.5397579270404339E-4</v>
      </c>
    </row>
    <row r="133" spans="1:8" x14ac:dyDescent="0.2">
      <c r="B133" s="230">
        <v>-2.7630499999999999E-5</v>
      </c>
      <c r="C133" s="208">
        <f>(LOG(_rn075)-0.301)^2</f>
        <v>39.611385603902058</v>
      </c>
      <c r="D133" s="1">
        <f>zzz</f>
        <v>4</v>
      </c>
      <c r="E133" s="1">
        <f>fasf</f>
        <v>0.4</v>
      </c>
      <c r="F133" s="1">
        <v>1</v>
      </c>
      <c r="G133" s="209">
        <f>jjj^2</f>
        <v>0.78837744860255232</v>
      </c>
      <c r="H133" s="203">
        <f t="shared" si="6"/>
        <v>-1.3805843745797537E-3</v>
      </c>
    </row>
    <row r="134" spans="1:8" x14ac:dyDescent="0.2">
      <c r="B134" s="230">
        <v>9.5400000000000001E-5</v>
      </c>
      <c r="C134" s="208">
        <f>(LOG(_rn075)-0.301)</f>
        <v>6.2937576696201178</v>
      </c>
      <c r="D134" s="1">
        <f>zzz</f>
        <v>4</v>
      </c>
      <c r="E134" s="1">
        <f>fasf</f>
        <v>0.4</v>
      </c>
      <c r="F134" s="206">
        <f>psd</f>
        <v>0.95</v>
      </c>
      <c r="G134" s="209">
        <f>jjj</f>
        <v>0.88790621610762044</v>
      </c>
      <c r="H134" s="203">
        <f t="shared" si="6"/>
        <v>8.1034335697441372E-4</v>
      </c>
    </row>
    <row r="135" spans="1:8" x14ac:dyDescent="0.2">
      <c r="B135" s="230">
        <v>3.2049E-6</v>
      </c>
      <c r="C135" s="208">
        <f>(LOG(_rn075)-0.301)</f>
        <v>6.2937576696201178</v>
      </c>
      <c r="D135" s="1">
        <f>zzz^2</f>
        <v>16</v>
      </c>
      <c r="E135" s="1">
        <f>fasf</f>
        <v>0.4</v>
      </c>
      <c r="F135" s="1">
        <f>psd^3</f>
        <v>0.85737499999999989</v>
      </c>
      <c r="G135" s="209">
        <f>jjj</f>
        <v>0.88790621610762044</v>
      </c>
      <c r="H135" s="203">
        <f t="shared" si="6"/>
        <v>9.8274849301991068E-5</v>
      </c>
    </row>
    <row r="136" spans="1:8" x14ac:dyDescent="0.2">
      <c r="A136"/>
      <c r="H136" s="213">
        <f>SUM(H127:H135)</f>
        <v>4.1662447908474338E-4</v>
      </c>
    </row>
    <row r="137" spans="1:8" x14ac:dyDescent="0.2">
      <c r="A137"/>
      <c r="B137" s="214"/>
    </row>
    <row r="138" spans="1:8" x14ac:dyDescent="0.2">
      <c r="A138" s="1" t="s">
        <v>207</v>
      </c>
      <c r="C138" s="1" t="s">
        <v>234</v>
      </c>
      <c r="D138" s="1" t="s">
        <v>235</v>
      </c>
      <c r="E138" s="1" t="s">
        <v>236</v>
      </c>
      <c r="F138" s="1" t="s">
        <v>237</v>
      </c>
      <c r="G138" s="1" t="s">
        <v>238</v>
      </c>
    </row>
    <row r="139" spans="1:8" x14ac:dyDescent="0.2">
      <c r="B139" s="230">
        <v>-5.9141200000000004E-4</v>
      </c>
      <c r="C139" s="1">
        <v>1</v>
      </c>
      <c r="D139" s="1">
        <v>1</v>
      </c>
      <c r="E139" s="1">
        <v>1</v>
      </c>
      <c r="F139" s="1">
        <v>1</v>
      </c>
      <c r="G139" s="1">
        <v>1</v>
      </c>
      <c r="H139" s="203">
        <f>G139*F139*E139*D139*C139*B139</f>
        <v>-5.9141200000000004E-4</v>
      </c>
    </row>
    <row r="140" spans="1:8" x14ac:dyDescent="0.2">
      <c r="B140" s="230">
        <v>6.9689799999999996E-3</v>
      </c>
      <c r="C140" s="1">
        <v>1</v>
      </c>
      <c r="D140" s="1">
        <v>1</v>
      </c>
      <c r="E140" s="1">
        <v>1</v>
      </c>
      <c r="F140" s="206">
        <f>psd</f>
        <v>0.95</v>
      </c>
      <c r="G140" s="1">
        <v>1</v>
      </c>
      <c r="H140" s="203">
        <f t="shared" ref="H140:H151" si="7">G140*F140*E140*D140*C140*B140</f>
        <v>6.6205309999999989E-3</v>
      </c>
    </row>
    <row r="141" spans="1:8" x14ac:dyDescent="0.2">
      <c r="B141" s="230">
        <v>-6.66654E-5</v>
      </c>
      <c r="C141" s="1">
        <v>1</v>
      </c>
      <c r="D141" s="205">
        <v>4</v>
      </c>
      <c r="E141" s="1">
        <v>1</v>
      </c>
      <c r="F141" s="206">
        <f>psd^6</f>
        <v>0.73509189062499991</v>
      </c>
      <c r="G141" s="1">
        <v>1</v>
      </c>
      <c r="H141" s="203">
        <f t="shared" si="7"/>
        <v>-1.9602077970108748E-4</v>
      </c>
    </row>
    <row r="142" spans="1:8" x14ac:dyDescent="0.2">
      <c r="B142" s="230">
        <v>1.60818E-2</v>
      </c>
      <c r="C142" s="205">
        <v>1</v>
      </c>
      <c r="D142" s="1">
        <v>1</v>
      </c>
      <c r="E142" s="209">
        <f>fasf^2</f>
        <v>0.16000000000000003</v>
      </c>
      <c r="F142" s="1">
        <v>1</v>
      </c>
      <c r="G142" s="1">
        <v>1</v>
      </c>
      <c r="H142" s="203">
        <f t="shared" si="7"/>
        <v>2.5730880000000007E-3</v>
      </c>
    </row>
    <row r="143" spans="1:8" x14ac:dyDescent="0.2">
      <c r="B143" s="230">
        <v>-9.3809099999999995E-4</v>
      </c>
      <c r="C143" s="208">
        <f>(LOG(_rn075)-0.301)</f>
        <v>6.2937576696201178</v>
      </c>
      <c r="D143" s="1">
        <v>1</v>
      </c>
      <c r="E143" s="1">
        <v>1</v>
      </c>
      <c r="F143" s="208">
        <f>psd</f>
        <v>0.95</v>
      </c>
      <c r="G143" s="1">
        <v>1</v>
      </c>
      <c r="H143" s="203">
        <f t="shared" si="7"/>
        <v>-5.6089115547490256E-3</v>
      </c>
    </row>
    <row r="144" spans="1:8" x14ac:dyDescent="0.2">
      <c r="B144" s="230">
        <v>-5.9593000000000005E-4</v>
      </c>
      <c r="C144" s="208">
        <f>(LOG(_rn075)-0.301)</f>
        <v>6.2937576696201178</v>
      </c>
      <c r="D144" s="1">
        <v>1</v>
      </c>
      <c r="E144" s="1">
        <v>1</v>
      </c>
      <c r="F144" s="208">
        <f>psd^2</f>
        <v>0.90249999999999997</v>
      </c>
      <c r="G144" s="1">
        <v>1</v>
      </c>
      <c r="H144" s="203">
        <f t="shared" si="7"/>
        <v>-3.3849517047711869E-3</v>
      </c>
    </row>
    <row r="145" spans="2:8" x14ac:dyDescent="0.2">
      <c r="B145" s="230">
        <v>7.8209900000000005E-5</v>
      </c>
      <c r="C145" s="208">
        <f>(LOG(_rn075)-0.301)^2</f>
        <v>39.611385603902058</v>
      </c>
      <c r="D145" s="1">
        <v>1</v>
      </c>
      <c r="E145" s="1">
        <v>1</v>
      </c>
      <c r="F145" s="208">
        <f>psd^2</f>
        <v>0.90249999999999997</v>
      </c>
      <c r="G145" s="1">
        <v>1</v>
      </c>
      <c r="H145" s="203">
        <f t="shared" si="7"/>
        <v>2.795947262515714E-3</v>
      </c>
    </row>
    <row r="146" spans="2:8" x14ac:dyDescent="0.2">
      <c r="B146" s="230">
        <v>5.2198999999999998E-6</v>
      </c>
      <c r="C146" s="208">
        <f>(LOG(_rn075)-0.301)</f>
        <v>6.2937576696201178</v>
      </c>
      <c r="D146" s="1">
        <f>zzz</f>
        <v>4</v>
      </c>
      <c r="E146" s="1">
        <f>fasf</f>
        <v>0.4</v>
      </c>
      <c r="F146" s="205">
        <v>1</v>
      </c>
      <c r="G146" s="209">
        <f>jjj^2</f>
        <v>0.78837744860255232</v>
      </c>
      <c r="H146" s="203">
        <f t="shared" si="7"/>
        <v>4.1440632540546291E-5</v>
      </c>
    </row>
    <row r="147" spans="2:8" x14ac:dyDescent="0.2">
      <c r="B147" s="230">
        <v>-8.8528E-7</v>
      </c>
      <c r="C147" s="208">
        <f>(LOG(_rn075)-0.301)^2</f>
        <v>39.611385603902058</v>
      </c>
      <c r="D147" s="1">
        <f>zzz</f>
        <v>4</v>
      </c>
      <c r="E147" s="1">
        <f>fasf</f>
        <v>0.4</v>
      </c>
      <c r="F147" s="206">
        <f>psd</f>
        <v>0.95</v>
      </c>
      <c r="G147" s="209">
        <f>jjj</f>
        <v>0.88790621610762044</v>
      </c>
      <c r="H147" s="203">
        <f t="shared" si="7"/>
        <v>-4.7327261055936792E-5</v>
      </c>
    </row>
    <row r="148" spans="2:8" x14ac:dyDescent="0.2">
      <c r="B148" s="230">
        <v>2.30171E-5</v>
      </c>
      <c r="C148" s="208">
        <f>(LOG(_rn075)-0.301)</f>
        <v>6.2937576696201178</v>
      </c>
      <c r="D148" s="1">
        <f>zzz</f>
        <v>4</v>
      </c>
      <c r="E148" s="1">
        <v>1</v>
      </c>
      <c r="F148" s="208">
        <f>psd^6</f>
        <v>0.73509189062499991</v>
      </c>
      <c r="G148" s="1">
        <v>1</v>
      </c>
      <c r="H148" s="203">
        <f t="shared" si="7"/>
        <v>4.2595355258504697E-4</v>
      </c>
    </row>
    <row r="149" spans="2:8" x14ac:dyDescent="0.2">
      <c r="B149" s="230">
        <v>-1.8434100000000001E-6</v>
      </c>
      <c r="C149" s="208">
        <f>(LOG(_rn075)-0.301)^2</f>
        <v>39.611385603902058</v>
      </c>
      <c r="D149" s="1">
        <f>zzz</f>
        <v>4</v>
      </c>
      <c r="E149" s="1">
        <v>1</v>
      </c>
      <c r="F149" s="208">
        <f>psd^6</f>
        <v>0.73509189062499991</v>
      </c>
      <c r="G149" s="1">
        <v>1</v>
      </c>
      <c r="H149" s="203">
        <f t="shared" si="7"/>
        <v>-2.1470571097079692E-4</v>
      </c>
    </row>
    <row r="150" spans="2:8" x14ac:dyDescent="0.2">
      <c r="B150" s="230">
        <v>-4.0025199999999999E-3</v>
      </c>
      <c r="C150" s="208">
        <f>(LOG(_rn075)-0.301)</f>
        <v>6.2937576696201178</v>
      </c>
      <c r="D150" s="1">
        <v>1</v>
      </c>
      <c r="E150" s="209">
        <f>fasf^2</f>
        <v>0.16000000000000003</v>
      </c>
      <c r="F150" s="1">
        <v>1</v>
      </c>
      <c r="G150" s="1">
        <v>1</v>
      </c>
      <c r="H150" s="203">
        <f t="shared" si="7"/>
        <v>-4.0305425516492669E-3</v>
      </c>
    </row>
    <row r="151" spans="2:8" x14ac:dyDescent="0.2">
      <c r="B151" s="230">
        <v>2.2091499999999999E-4</v>
      </c>
      <c r="C151" s="208">
        <f>(LOG(_rn075)-0.301)^2</f>
        <v>39.611385603902058</v>
      </c>
      <c r="D151" s="1">
        <v>1</v>
      </c>
      <c r="E151" s="209">
        <f>fasf^2</f>
        <v>0.16000000000000003</v>
      </c>
      <c r="F151" s="1">
        <v>1</v>
      </c>
      <c r="G151" s="1">
        <v>1</v>
      </c>
      <c r="H151" s="203">
        <f t="shared" si="7"/>
        <v>1.4001198801097639E-3</v>
      </c>
    </row>
    <row r="152" spans="2:8" x14ac:dyDescent="0.2">
      <c r="B152" s="214"/>
      <c r="H152" s="231">
        <f>SUM(H139:H151)</f>
        <v>-2.1679123514622956E-4</v>
      </c>
    </row>
    <row r="153" spans="2:8" x14ac:dyDescent="0.2">
      <c r="B153" s="214"/>
    </row>
    <row r="154" spans="2:8" x14ac:dyDescent="0.2">
      <c r="B154" s="214"/>
    </row>
    <row r="155" spans="2:8" x14ac:dyDescent="0.2">
      <c r="B155" s="214"/>
    </row>
    <row r="156" spans="2:8" x14ac:dyDescent="0.2">
      <c r="B156" s="214"/>
    </row>
    <row r="157" spans="2:8" x14ac:dyDescent="0.2">
      <c r="B157" s="214"/>
    </row>
    <row r="158" spans="2:8" x14ac:dyDescent="0.2">
      <c r="B158" s="214"/>
    </row>
    <row r="159" spans="2:8" x14ac:dyDescent="0.2">
      <c r="B159" s="214"/>
    </row>
  </sheetData>
  <printOptions gridLines="1" gridLinesSet="0"/>
  <pageMargins left="0.78740157499999996" right="0.78740157499999996" top="0.984251969" bottom="0.984251969" header="0.49212598499999999" footer="0.49212598499999999"/>
  <pageSetup paperSize="9" orientation="portrait" horizontalDpi="360" verticalDpi="0" copies="0" r:id="rId1"/>
  <headerFooter alignWithMargins="0">
    <oddHeader>&amp;A</oddHeader>
    <oddFooter>Página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1:G17"/>
  <sheetViews>
    <sheetView showGridLines="0" zoomScale="75" workbookViewId="0">
      <selection activeCell="B17" sqref="B17"/>
    </sheetView>
  </sheetViews>
  <sheetFormatPr defaultColWidth="11.42578125" defaultRowHeight="12.75" x14ac:dyDescent="0.2"/>
  <cols>
    <col min="1" max="1" width="8.42578125" customWidth="1"/>
    <col min="2" max="2" width="8.28515625" customWidth="1"/>
    <col min="3" max="3" width="7.7109375" customWidth="1"/>
    <col min="4" max="5" width="8.140625" customWidth="1"/>
    <col min="6" max="6" width="8.28515625" customWidth="1"/>
    <col min="7" max="7" width="9.7109375" customWidth="1"/>
  </cols>
  <sheetData>
    <row r="1" spans="1:7" x14ac:dyDescent="0.2">
      <c r="A1" s="361" t="s">
        <v>239</v>
      </c>
    </row>
    <row r="3" spans="1:7" x14ac:dyDescent="0.2">
      <c r="A3" s="1" t="s">
        <v>240</v>
      </c>
      <c r="B3" s="295" t="s">
        <v>241</v>
      </c>
      <c r="C3" s="296" t="s">
        <v>242</v>
      </c>
      <c r="D3" s="295" t="s">
        <v>243</v>
      </c>
      <c r="E3" s="296" t="s">
        <v>244</v>
      </c>
      <c r="F3" s="1"/>
      <c r="G3" s="1"/>
    </row>
    <row r="4" spans="1:7" x14ac:dyDescent="0.2">
      <c r="A4" s="1">
        <v>0.16</v>
      </c>
      <c r="B4" s="1">
        <v>0.08</v>
      </c>
      <c r="C4" s="1">
        <v>8.5000000000000006E-2</v>
      </c>
      <c r="D4" s="1">
        <v>0.1</v>
      </c>
      <c r="E4" s="1">
        <v>0.15</v>
      </c>
      <c r="F4" s="1"/>
      <c r="G4" s="1"/>
    </row>
    <row r="5" spans="1:7" x14ac:dyDescent="0.2">
      <c r="A5" s="1">
        <v>0.2</v>
      </c>
      <c r="B5" s="1">
        <v>0.09</v>
      </c>
      <c r="C5" s="1">
        <v>0.12</v>
      </c>
      <c r="D5" s="1">
        <v>0.18</v>
      </c>
      <c r="E5" s="1">
        <v>0.18</v>
      </c>
      <c r="F5" s="1"/>
      <c r="G5" s="1"/>
    </row>
    <row r="6" spans="1:7" x14ac:dyDescent="0.2">
      <c r="A6" s="1">
        <v>0.3</v>
      </c>
      <c r="B6" s="1">
        <v>0.14499999999999999</v>
      </c>
      <c r="C6" s="1">
        <v>0.18</v>
      </c>
      <c r="D6" s="1">
        <v>0.23</v>
      </c>
      <c r="E6" s="1">
        <v>0.24</v>
      </c>
      <c r="F6" s="1"/>
      <c r="G6" s="1"/>
    </row>
    <row r="7" spans="1:7" x14ac:dyDescent="0.2">
      <c r="A7" s="1">
        <v>0.4</v>
      </c>
      <c r="B7" s="1">
        <v>0.16</v>
      </c>
      <c r="C7" s="1">
        <v>0.21</v>
      </c>
      <c r="D7" s="1">
        <v>0.28999999999999998</v>
      </c>
      <c r="E7" s="1">
        <v>0.3</v>
      </c>
      <c r="F7" s="1"/>
      <c r="G7" s="1"/>
    </row>
    <row r="8" spans="1:7" x14ac:dyDescent="0.2">
      <c r="A8" s="1">
        <v>0.5</v>
      </c>
      <c r="B8" s="1">
        <v>0.185</v>
      </c>
      <c r="C8" s="1">
        <v>0.23</v>
      </c>
      <c r="D8" s="1">
        <v>0.32</v>
      </c>
      <c r="E8" s="1">
        <v>0.39</v>
      </c>
      <c r="F8" s="1"/>
      <c r="G8" s="1"/>
    </row>
    <row r="9" spans="1:7" x14ac:dyDescent="0.2">
      <c r="A9" s="1">
        <v>0.6</v>
      </c>
      <c r="B9" s="1">
        <v>0.20499999999999999</v>
      </c>
      <c r="C9" s="1">
        <v>0.28000000000000003</v>
      </c>
      <c r="D9" s="1">
        <v>0.36</v>
      </c>
      <c r="E9" s="1">
        <v>0.43</v>
      </c>
      <c r="F9" s="1"/>
      <c r="G9" s="1"/>
    </row>
    <row r="10" spans="1:7" x14ac:dyDescent="0.2">
      <c r="A10" s="1">
        <v>0.7</v>
      </c>
      <c r="B10" s="1">
        <v>0.22</v>
      </c>
      <c r="C10" s="1">
        <v>0.3</v>
      </c>
      <c r="D10" s="1">
        <v>0.41</v>
      </c>
      <c r="E10" s="1">
        <v>0.47</v>
      </c>
      <c r="F10" s="1"/>
      <c r="G10" s="1"/>
    </row>
    <row r="11" spans="1:7" x14ac:dyDescent="0.2">
      <c r="A11" s="1">
        <v>0.8</v>
      </c>
      <c r="B11" s="1">
        <v>0.24</v>
      </c>
      <c r="C11" s="1">
        <v>0.32</v>
      </c>
      <c r="D11" s="1">
        <v>0.42</v>
      </c>
      <c r="E11" s="1">
        <v>0.48</v>
      </c>
      <c r="F11" s="1"/>
      <c r="G11" s="1"/>
    </row>
    <row r="12" spans="1:7" x14ac:dyDescent="0.2">
      <c r="A12" s="1">
        <v>0.9</v>
      </c>
      <c r="B12" s="1">
        <v>0.26</v>
      </c>
      <c r="C12" s="1">
        <v>0.33500000000000002</v>
      </c>
      <c r="D12" s="1">
        <v>0.44</v>
      </c>
      <c r="E12" s="1">
        <v>0.52</v>
      </c>
      <c r="F12" s="1"/>
      <c r="G12" s="1"/>
    </row>
    <row r="13" spans="1:7" x14ac:dyDescent="0.2">
      <c r="A13" s="1">
        <v>1</v>
      </c>
      <c r="B13" s="1">
        <v>0.27500000000000002</v>
      </c>
      <c r="C13" s="1">
        <v>0.36</v>
      </c>
      <c r="D13" s="1">
        <v>0.46</v>
      </c>
      <c r="E13" s="1">
        <v>0.55000000000000004</v>
      </c>
      <c r="F13" s="1"/>
      <c r="G13" s="1"/>
    </row>
    <row r="14" spans="1:7" x14ac:dyDescent="0.2">
      <c r="A14" s="1">
        <v>1.5</v>
      </c>
      <c r="B14" s="1">
        <v>0.32</v>
      </c>
      <c r="C14" s="1">
        <v>0.40500000000000003</v>
      </c>
      <c r="D14" s="1">
        <v>0.52</v>
      </c>
      <c r="E14" s="1">
        <v>0.57999999999999996</v>
      </c>
      <c r="F14" s="1"/>
      <c r="G14" s="1"/>
    </row>
    <row r="15" spans="1:7" x14ac:dyDescent="0.2">
      <c r="A15" s="1"/>
      <c r="B15" s="1"/>
      <c r="C15" s="1"/>
      <c r="D15" s="1"/>
      <c r="E15" s="1"/>
      <c r="F15" s="1"/>
      <c r="G15" s="1"/>
    </row>
    <row r="16" spans="1:7" x14ac:dyDescent="0.2">
      <c r="A16" s="1" t="s">
        <v>240</v>
      </c>
      <c r="B16" s="1" t="s">
        <v>245</v>
      </c>
      <c r="C16" s="1" t="s">
        <v>246</v>
      </c>
      <c r="D16" s="1" t="s">
        <v>247</v>
      </c>
      <c r="E16" s="1" t="s">
        <v>248</v>
      </c>
      <c r="F16" s="1"/>
      <c r="G16" s="1"/>
    </row>
    <row r="17" spans="1:7" x14ac:dyDescent="0.2">
      <c r="A17" s="1">
        <f>SérieB!D22</f>
        <v>4.3465030243265161</v>
      </c>
      <c r="B17" s="207">
        <f>0.1082*LN($A17)+0.2675</f>
        <v>0.42648600921302726</v>
      </c>
      <c r="C17" s="207">
        <f>0.1452*LN($A17)+0.3498</f>
        <v>0.56315275912875751</v>
      </c>
      <c r="D17" s="207">
        <f>0.1852*LN($A17)+0.4577</f>
        <v>0.72982762390251987</v>
      </c>
      <c r="E17" s="207">
        <f>0.2148*LN($A17)+0.5276</f>
        <v>0.843221023835104</v>
      </c>
      <c r="F17" s="1"/>
      <c r="G17" s="1"/>
    </row>
  </sheetData>
  <printOptions gridLinesSet="0"/>
  <pageMargins left="0.78740157499999996" right="0.78740157499999996" top="0.984251969" bottom="0.984251969" header="0.49212598499999999" footer="0.49212598499999999"/>
  <headerFooter alignWithMargins="0">
    <oddHeader>&amp;A</oddHeader>
    <oddFooter>Página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116</vt:i4>
      </vt:variant>
    </vt:vector>
  </HeadingPairs>
  <TitlesOfParts>
    <vt:vector size="120" baseType="lpstr">
      <vt:lpstr>Holtrop</vt:lpstr>
      <vt:lpstr>Potência x Velocidade</vt:lpstr>
      <vt:lpstr>SérieB</vt:lpstr>
      <vt:lpstr>Cavitação</vt:lpstr>
      <vt:lpstr>_ccc075</vt:lpstr>
      <vt:lpstr>_ccc1</vt:lpstr>
      <vt:lpstr>_ccc12</vt:lpstr>
      <vt:lpstr>_ccc14</vt:lpstr>
      <vt:lpstr>_ccc15</vt:lpstr>
      <vt:lpstr>_ccc16</vt:lpstr>
      <vt:lpstr>_ccc17</vt:lpstr>
      <vt:lpstr>_ccc19</vt:lpstr>
      <vt:lpstr>_ccc2</vt:lpstr>
      <vt:lpstr>_ccc20</vt:lpstr>
      <vt:lpstr>_ccc3</vt:lpstr>
      <vt:lpstr>_ccc4</vt:lpstr>
      <vt:lpstr>_ccc5</vt:lpstr>
      <vt:lpstr>_ccc6</vt:lpstr>
      <vt:lpstr>_ccc7</vt:lpstr>
      <vt:lpstr>_ccc8</vt:lpstr>
      <vt:lpstr>_ccc9</vt:lpstr>
      <vt:lpstr>_ccp1</vt:lpstr>
      <vt:lpstr>_crw1</vt:lpstr>
      <vt:lpstr>_crw2</vt:lpstr>
      <vt:lpstr>_dia1</vt:lpstr>
      <vt:lpstr>_hbb1</vt:lpstr>
      <vt:lpstr>_kk2</vt:lpstr>
      <vt:lpstr>_kkm1</vt:lpstr>
      <vt:lpstr>_lcb1</vt:lpstr>
      <vt:lpstr>_mmm1</vt:lpstr>
      <vt:lpstr>_mmm3</vt:lpstr>
      <vt:lpstr>_mmm4</vt:lpstr>
      <vt:lpstr>_rn075</vt:lpstr>
      <vt:lpstr>_rot1</vt:lpstr>
      <vt:lpstr>_vr2</vt:lpstr>
      <vt:lpstr>_vva1</vt:lpstr>
      <vt:lpstr>asmol</vt:lpstr>
      <vt:lpstr>atr</vt:lpstr>
      <vt:lpstr>atrs</vt:lpstr>
      <vt:lpstr>boca</vt:lpstr>
      <vt:lpstr>bsl</vt:lpstr>
      <vt:lpstr>bsta</vt:lpstr>
      <vt:lpstr>cal</vt:lpstr>
      <vt:lpstr>calar</vt:lpstr>
      <vt:lpstr>cbb</vt:lpstr>
      <vt:lpstr>ccav</vt:lpstr>
      <vt:lpstr>ccca</vt:lpstr>
      <vt:lpstr>cff</vt:lpstr>
      <vt:lpstr>clwl</vt:lpstr>
      <vt:lpstr>cpp</vt:lpstr>
      <vt:lpstr>csm</vt:lpstr>
      <vt:lpstr>cstern</vt:lpstr>
      <vt:lpstr>cvv</vt:lpstr>
      <vt:lpstr>ddd</vt:lpstr>
      <vt:lpstr>desloc</vt:lpstr>
      <vt:lpstr>'Potência x Velocidade'!Deslocamento_leve</vt:lpstr>
      <vt:lpstr>dprop</vt:lpstr>
      <vt:lpstr>ehp</vt:lpstr>
      <vt:lpstr>fasf</vt:lpstr>
      <vt:lpstr>fnii</vt:lpstr>
      <vt:lpstr>fnn</vt:lpstr>
      <vt:lpstr>fnnt</vt:lpstr>
      <vt:lpstr>frt</vt:lpstr>
      <vt:lpstr>ftt</vt:lpstr>
      <vt:lpstr>grav</vt:lpstr>
      <vt:lpstr>hbb</vt:lpstr>
      <vt:lpstr>hprop</vt:lpstr>
      <vt:lpstr>hra</vt:lpstr>
      <vt:lpstr>hrapp</vt:lpstr>
      <vt:lpstr>hrb</vt:lpstr>
      <vt:lpstr>hrf</vt:lpstr>
      <vt:lpstr>hrtr</vt:lpstr>
      <vt:lpstr>hrw</vt:lpstr>
      <vt:lpstr>iie</vt:lpstr>
      <vt:lpstr>jjj</vt:lpstr>
      <vt:lpstr>kkm</vt:lpstr>
      <vt:lpstr>kqs</vt:lpstr>
      <vt:lpstr>kts</vt:lpstr>
      <vt:lpstr>lambda</vt:lpstr>
      <vt:lpstr>lcb</vt:lpstr>
      <vt:lpstr>lpp</vt:lpstr>
      <vt:lpstr>lrr</vt:lpstr>
      <vt:lpstr>ls3vol</vt:lpstr>
      <vt:lpstr>lsb</vt:lpstr>
      <vt:lpstr>lsbm2</vt:lpstr>
      <vt:lpstr>lslr</vt:lpstr>
      <vt:lpstr>lsta</vt:lpstr>
      <vt:lpstr>lwl</vt:lpstr>
      <vt:lpstr>mii</vt:lpstr>
      <vt:lpstr>ncav</vt:lpstr>
      <vt:lpstr>nii</vt:lpstr>
      <vt:lpstr>Nmprop</vt:lpstr>
      <vt:lpstr>nprop</vt:lpstr>
      <vt:lpstr>nrr</vt:lpstr>
      <vt:lpstr>pbb</vt:lpstr>
      <vt:lpstr>psd</vt:lpstr>
      <vt:lpstr>renab</vt:lpstr>
      <vt:lpstr>rend</vt:lpstr>
      <vt:lpstr>Rey</vt:lpstr>
      <vt:lpstr>rfaf</vt:lpstr>
      <vt:lpstr>roo</vt:lpstr>
      <vt:lpstr>rot</vt:lpstr>
      <vt:lpstr>rpd</vt:lpstr>
      <vt:lpstr>rwa</vt:lpstr>
      <vt:lpstr>rwb</vt:lpstr>
      <vt:lpstr>sapp</vt:lpstr>
      <vt:lpstr>supmol</vt:lpstr>
      <vt:lpstr>tasd</vt:lpstr>
      <vt:lpstr>'Potência x Velocidade'!TBP</vt:lpstr>
      <vt:lpstr>tcm</vt:lpstr>
      <vt:lpstr>'Potência x Velocidade'!TPB</vt:lpstr>
      <vt:lpstr>tsb</vt:lpstr>
      <vt:lpstr>tsl</vt:lpstr>
      <vt:lpstr>ttt</vt:lpstr>
      <vt:lpstr>velms</vt:lpstr>
      <vt:lpstr>veloc</vt:lpstr>
      <vt:lpstr>volsl3</vt:lpstr>
      <vt:lpstr>vva</vt:lpstr>
      <vt:lpstr>www</vt:lpstr>
      <vt:lpstr>zzz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holtrop2</dc:title>
  <dc:subject>estimativa de potência propulsiva</dc:subject>
  <dc:creator>Hamilton Picanço</dc:creator>
  <dc:description>Parada no cálculo dos coeficientes propulsivos da série sistemática B de propulsores. 17/03/95</dc:description>
  <cp:lastModifiedBy>Denis</cp:lastModifiedBy>
  <dcterms:created xsi:type="dcterms:W3CDTF">1999-07-05T21:44:28Z</dcterms:created>
  <dcterms:modified xsi:type="dcterms:W3CDTF">2021-01-21T21:57:17Z</dcterms:modified>
</cp:coreProperties>
</file>